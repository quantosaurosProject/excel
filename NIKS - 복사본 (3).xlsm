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35" windowWidth="20700" windowHeight="10305"/>
  </bookViews>
  <sheets>
    <sheet name="Main" sheetId="1" r:id="rId1"/>
    <sheet name="IRDATA" sheetId="3" r:id="rId2"/>
    <sheet name="VOLDATA" sheetId="4" r:id="rId3"/>
    <sheet name="CORRDATA" sheetId="6" r:id="rId4"/>
    <sheet name="setting" sheetId="5" r:id="rId5"/>
  </sheets>
  <functionGroups builtInGroupCount="17"/>
  <definedNames>
    <definedName name="refType1">Main!$F$15</definedName>
    <definedName name="refType2">Main!$G$15</definedName>
    <definedName name="spotRateN">Main!#REF!</definedName>
  </definedNames>
  <calcPr calcId="145621"/>
</workbook>
</file>

<file path=xl/calcChain.xml><?xml version="1.0" encoding="utf-8"?>
<calcChain xmlns="http://schemas.openxmlformats.org/spreadsheetml/2006/main">
  <c r="G9" i="1" l="1"/>
  <c r="F13" i="1" l="1"/>
  <c r="F31" i="1" l="1"/>
  <c r="G30" i="1" l="1"/>
  <c r="F32" i="1" s="1"/>
  <c r="G31" i="1" l="1"/>
  <c r="H31" i="1" s="1"/>
  <c r="I31" i="1" s="1"/>
  <c r="G32" i="1"/>
  <c r="H32" i="1" l="1"/>
  <c r="J31" i="1"/>
  <c r="I32" i="1"/>
  <c r="K31" i="1" l="1"/>
  <c r="J32" i="1"/>
  <c r="L31" i="1" l="1"/>
  <c r="K32" i="1"/>
  <c r="M31" i="1" l="1"/>
  <c r="L32" i="1"/>
  <c r="N31" i="1" l="1"/>
  <c r="M32" i="1"/>
  <c r="O31" i="1" l="1"/>
  <c r="N32" i="1"/>
  <c r="P31" i="1" l="1"/>
  <c r="O32" i="1"/>
  <c r="Q31" i="1" l="1"/>
  <c r="P32" i="1"/>
  <c r="Q32" i="1" l="1"/>
  <c r="F8" i="1" s="1"/>
  <c r="F29" i="1"/>
</calcChain>
</file>

<file path=xl/comments1.xml><?xml version="1.0" encoding="utf-8"?>
<comments xmlns="http://schemas.openxmlformats.org/spreadsheetml/2006/main">
  <authors>
    <author>Jay</author>
  </authors>
  <commentList>
    <comment ref="B15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Rate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Spread 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선택하도록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선택하고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금리커브를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Forward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Swap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.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선택후</t>
        </r>
        <r>
          <rPr>
            <sz val="9"/>
            <color indexed="81"/>
            <rFont val="Tahoma"/>
            <family val="2"/>
          </rPr>
          <t xml:space="preserve">, Forward 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"Swap</t>
        </r>
        <r>
          <rPr>
            <sz val="9"/>
            <color indexed="81"/>
            <rFont val="돋움"/>
            <family val="3"/>
            <charset val="129"/>
          </rPr>
          <t>쿠폰주기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None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>, Swap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<sst xmlns="http://schemas.openxmlformats.org/spreadsheetml/2006/main" count="582" uniqueCount="125">
  <si>
    <t>변수명</t>
    <phoneticPr fontId="1" type="noConversion"/>
  </si>
  <si>
    <t>설명</t>
    <phoneticPr fontId="1" type="noConversion"/>
  </si>
  <si>
    <t>입력값</t>
    <phoneticPr fontId="1" type="noConversion"/>
  </si>
  <si>
    <t>오늘날짜</t>
    <phoneticPr fontId="1" type="noConversion"/>
  </si>
  <si>
    <t>today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</si>
  <si>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</si>
  <si>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</si>
  <si>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</si>
  <si>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</si>
  <si>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</si>
  <si>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</si>
  <si>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</si>
  <si>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</si>
  <si>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</si>
  <si>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</si>
  <si>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</si>
  <si>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</si>
  <si>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결과값</t>
    <phoneticPr fontId="1" type="noConversion"/>
  </si>
  <si>
    <t>M1</t>
    <phoneticPr fontId="1" type="noConversion"/>
  </si>
  <si>
    <t>Y1H</t>
    <phoneticPr fontId="1" type="noConversion"/>
  </si>
  <si>
    <t>Product Information</t>
    <phoneticPr fontId="1" type="noConversion"/>
  </si>
  <si>
    <t>발행일</t>
    <phoneticPr fontId="1" type="noConversion"/>
  </si>
  <si>
    <t>만기일</t>
    <phoneticPr fontId="1" type="noConversion"/>
  </si>
  <si>
    <t>notional</t>
    <phoneticPr fontId="1" type="noConversion"/>
  </si>
  <si>
    <t>issueDate</t>
    <phoneticPr fontId="1" type="noConversion"/>
  </si>
  <si>
    <t>maturityDate</t>
    <phoneticPr fontId="1" type="noConversion"/>
  </si>
  <si>
    <t>원금/통화</t>
    <phoneticPr fontId="1" type="noConversion"/>
  </si>
  <si>
    <t>KRW</t>
    <phoneticPr fontId="1" type="noConversion"/>
  </si>
  <si>
    <t>- 기준금리유형</t>
    <phoneticPr fontId="1" type="noConversion"/>
  </si>
  <si>
    <t>- 이자율유형</t>
    <phoneticPr fontId="1" type="noConversion"/>
  </si>
  <si>
    <t>Forward/Swap</t>
    <phoneticPr fontId="1" type="noConversion"/>
  </si>
  <si>
    <t>- Swap쿠폰주기</t>
    <phoneticPr fontId="1" type="noConversion"/>
  </si>
  <si>
    <t>None</t>
    <phoneticPr fontId="1" type="noConversion"/>
  </si>
  <si>
    <t>Range정보</t>
    <phoneticPr fontId="1" type="noConversion"/>
  </si>
  <si>
    <t>- Range 주기</t>
    <phoneticPr fontId="1" type="noConversion"/>
  </si>
  <si>
    <t>날짜계산규칙</t>
    <phoneticPr fontId="1" type="noConversion"/>
  </si>
  <si>
    <t>dcf</t>
    <phoneticPr fontId="1" type="noConversion"/>
  </si>
  <si>
    <t>- Range 수</t>
    <phoneticPr fontId="1" type="noConversion"/>
  </si>
  <si>
    <t>rangeNum</t>
    <phoneticPr fontId="1" type="noConversion"/>
  </si>
  <si>
    <t>rangeMatuDays</t>
    <phoneticPr fontId="1" type="noConversion"/>
  </si>
  <si>
    <t>- Range 시작일 배열</t>
    <phoneticPr fontId="1" type="noConversion"/>
  </si>
  <si>
    <t>- Range 끝일 배열</t>
    <phoneticPr fontId="1" type="noConversion"/>
  </si>
  <si>
    <t>- In-Coupon Rates</t>
    <phoneticPr fontId="1" type="noConversion"/>
  </si>
  <si>
    <t>inCouponRates</t>
    <phoneticPr fontId="1" type="noConversion"/>
  </si>
  <si>
    <t>- Out-Coupon Rates</t>
    <phoneticPr fontId="1" type="noConversion"/>
  </si>
  <si>
    <t>outCouponRates</t>
    <phoneticPr fontId="1" type="noConversion"/>
  </si>
  <si>
    <t>- Upper Bounds</t>
    <phoneticPr fontId="1" type="noConversion"/>
  </si>
  <si>
    <t>- Lower Bounds</t>
    <phoneticPr fontId="1" type="noConversion"/>
  </si>
  <si>
    <t>upperBounds</t>
    <phoneticPr fontId="1" type="noConversion"/>
  </si>
  <si>
    <t>lowerBounds</t>
    <phoneticPr fontId="1" type="noConversion"/>
  </si>
  <si>
    <t>Option정보</t>
    <phoneticPr fontId="1" type="noConversion"/>
  </si>
  <si>
    <t>- Callable 유무</t>
    <phoneticPr fontId="1" type="noConversion"/>
  </si>
  <si>
    <t>callFlags</t>
    <phoneticPr fontId="1" type="noConversion"/>
  </si>
  <si>
    <t>ACT365</t>
    <phoneticPr fontId="1" type="noConversion"/>
  </si>
  <si>
    <t>MC Information</t>
    <phoneticPr fontId="1" type="noConversion"/>
  </si>
  <si>
    <t>관측주기</t>
    <phoneticPr fontId="1" type="noConversion"/>
  </si>
  <si>
    <t>monitorFrequency</t>
    <phoneticPr fontId="1" type="noConversion"/>
  </si>
  <si>
    <t>시뮬레이션수</t>
    <phoneticPr fontId="1" type="noConversion"/>
  </si>
  <si>
    <t>simulationNum</t>
    <phoneticPr fontId="1" type="noConversion"/>
  </si>
  <si>
    <t>Spot/Spread</t>
    <phoneticPr fontId="1" type="noConversion"/>
  </si>
  <si>
    <t>- 이자율테너</t>
    <phoneticPr fontId="1" type="noConversion"/>
  </si>
  <si>
    <t>기준금리정보</t>
    <phoneticPr fontId="1" type="noConversion"/>
  </si>
  <si>
    <t>rateType</t>
    <phoneticPr fontId="1" type="noConversion"/>
  </si>
  <si>
    <t>tenor</t>
    <phoneticPr fontId="1" type="noConversion"/>
  </si>
  <si>
    <t>swapCouponFrequency</t>
    <phoneticPr fontId="1" type="noConversion"/>
  </si>
  <si>
    <t>기준금리1</t>
    <phoneticPr fontId="1" type="noConversion"/>
  </si>
  <si>
    <t>기준금리2</t>
    <phoneticPr fontId="1" type="noConversion"/>
  </si>
  <si>
    <t>referenceType</t>
    <phoneticPr fontId="1" type="noConversion"/>
  </si>
  <si>
    <t>Tenor</t>
    <phoneticPr fontId="1" type="noConversion"/>
  </si>
  <si>
    <t>Rate</t>
    <phoneticPr fontId="1" type="noConversion"/>
  </si>
  <si>
    <t>D1</t>
  </si>
  <si>
    <t>M3</t>
  </si>
  <si>
    <t>M6</t>
  </si>
  <si>
    <t>M9</t>
  </si>
  <si>
    <t>Y1</t>
  </si>
  <si>
    <t>Y2</t>
  </si>
  <si>
    <t>Y3</t>
  </si>
  <si>
    <t>Y4</t>
  </si>
  <si>
    <t>Y5</t>
  </si>
  <si>
    <t>Y7</t>
  </si>
  <si>
    <t>Y10</t>
  </si>
  <si>
    <t>Y12</t>
  </si>
  <si>
    <t>Y15</t>
  </si>
  <si>
    <t>Y20</t>
  </si>
  <si>
    <t>KRWIRS</t>
    <phoneticPr fontId="1" type="noConversion"/>
  </si>
  <si>
    <t>DT</t>
    <phoneticPr fontId="1" type="noConversion"/>
  </si>
  <si>
    <t>KRWTBOND</t>
    <phoneticPr fontId="1" type="noConversion"/>
  </si>
  <si>
    <t>IRTYPE</t>
    <phoneticPr fontId="1" type="noConversion"/>
  </si>
  <si>
    <t>Deposit</t>
  </si>
  <si>
    <t>Swap</t>
  </si>
  <si>
    <t>DT</t>
    <phoneticPr fontId="1" type="noConversion"/>
  </si>
  <si>
    <t>ID</t>
    <phoneticPr fontId="1" type="noConversion"/>
  </si>
  <si>
    <t>ID</t>
    <phoneticPr fontId="1" type="noConversion"/>
  </si>
  <si>
    <t>Tenor</t>
    <phoneticPr fontId="1" type="noConversion"/>
  </si>
  <si>
    <t>Value</t>
    <phoneticPr fontId="1" type="noConversion"/>
  </si>
  <si>
    <t>KRWSwaption</t>
    <phoneticPr fontId="1" type="noConversion"/>
  </si>
  <si>
    <t>Maturity</t>
    <phoneticPr fontId="1" type="noConversion"/>
  </si>
  <si>
    <t>원금포함여부</t>
    <phoneticPr fontId="1" type="noConversion"/>
  </si>
  <si>
    <t>includePrincipal</t>
    <phoneticPr fontId="1" type="noConversion"/>
  </si>
  <si>
    <t>- 기준금리 수</t>
    <phoneticPr fontId="1" type="noConversion"/>
  </si>
  <si>
    <t>referenceNum</t>
    <phoneticPr fontId="1" type="noConversion"/>
  </si>
  <si>
    <t>- 기준금리커브1</t>
    <phoneticPr fontId="1" type="noConversion"/>
  </si>
  <si>
    <t>- 기준금리커브2</t>
    <phoneticPr fontId="1" type="noConversion"/>
  </si>
  <si>
    <t>할인금리정보</t>
    <phoneticPr fontId="1" type="noConversion"/>
  </si>
  <si>
    <t>- 할인금리커브</t>
    <phoneticPr fontId="1" type="noConversion"/>
  </si>
  <si>
    <t>- 기준금리변동성1</t>
    <phoneticPr fontId="1" type="noConversion"/>
  </si>
  <si>
    <t>- 할인금리변동성</t>
    <phoneticPr fontId="1" type="noConversion"/>
  </si>
  <si>
    <t>- 기준금리변동성2</t>
    <phoneticPr fontId="1" type="noConversion"/>
  </si>
  <si>
    <t>Spread</t>
    <phoneticPr fontId="1" type="noConversion"/>
  </si>
  <si>
    <t>Spot</t>
    <phoneticPr fontId="1" type="noConversion"/>
  </si>
  <si>
    <t>Spot</t>
  </si>
  <si>
    <t>Forward</t>
  </si>
  <si>
    <r>
      <t>Q</t>
    </r>
    <r>
      <rPr>
        <sz val="11"/>
        <color theme="1"/>
        <rFont val="맑은 고딕"/>
        <family val="2"/>
        <charset val="129"/>
        <scheme val="minor"/>
      </rPr>
      <t>uarterly</t>
    </r>
    <phoneticPr fontId="1" type="noConversion"/>
  </si>
  <si>
    <r>
      <t>K</t>
    </r>
    <r>
      <rPr>
        <sz val="11"/>
        <color theme="1"/>
        <rFont val="맑은 고딕"/>
        <family val="2"/>
        <charset val="129"/>
        <scheme val="minor"/>
      </rPr>
      <t>RWIRS</t>
    </r>
    <phoneticPr fontId="1" type="noConversion"/>
  </si>
  <si>
    <r>
      <t>K</t>
    </r>
    <r>
      <rPr>
        <sz val="11"/>
        <color theme="1"/>
        <rFont val="맑은 고딕"/>
        <family val="2"/>
        <charset val="129"/>
        <scheme val="minor"/>
      </rPr>
      <t>RWSwaption</t>
    </r>
    <phoneticPr fontId="1" type="noConversion"/>
  </si>
  <si>
    <r>
      <t>K</t>
    </r>
    <r>
      <rPr>
        <sz val="11"/>
        <color theme="1"/>
        <rFont val="맑은 고딕"/>
        <family val="2"/>
        <charset val="129"/>
        <scheme val="minor"/>
      </rPr>
      <t>RWTBOND</t>
    </r>
    <phoneticPr fontId="1" type="noConversion"/>
  </si>
  <si>
    <r>
      <t>K</t>
    </r>
    <r>
      <rPr>
        <sz val="11"/>
        <color theme="1"/>
        <rFont val="맑은 고딕"/>
        <family val="2"/>
        <charset val="129"/>
        <scheme val="minor"/>
      </rPr>
      <t>RWSwaption</t>
    </r>
    <phoneticPr fontId="1" type="noConversion"/>
  </si>
  <si>
    <t>KRWIRS</t>
  </si>
  <si>
    <t>KRWIRS</t>
    <phoneticPr fontId="1" type="noConversion"/>
  </si>
  <si>
    <t>KRWTBOND</t>
  </si>
  <si>
    <t>KRWTBOND</t>
    <phoneticPr fontId="1" type="noConversion"/>
  </si>
  <si>
    <t>ID1</t>
    <phoneticPr fontId="1" type="noConversion"/>
  </si>
  <si>
    <t>ID2</t>
    <phoneticPr fontId="1" type="noConversion"/>
  </si>
  <si>
    <t>CORR</t>
    <phoneticPr fontId="1" type="noConversion"/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</si>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</sst>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"/>
    <numFmt numFmtId="177" formatCode="0.0000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>
      <alignment vertical="center"/>
    </xf>
    <xf numFmtId="0" fontId="2" fillId="2" borderId="1">
      <alignment horizontal="center" vertical="center"/>
    </xf>
    <xf numFmtId="0" fontId="3" fillId="3" borderId="2">
      <alignment horizontal="right" vertical="center"/>
    </xf>
    <xf numFmtId="14" fontId="3" fillId="3" borderId="2">
      <alignment horizontal="right" vertical="center"/>
    </xf>
  </cellStyleXfs>
  <cellXfs count="1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>
      <alignment vertical="center"/>
    </xf>
    <xf numFmtId="0" fontId="0" fillId="0" borderId="0" xfId="0" applyNumberFormat="1">
      <alignment vertical="center"/>
    </xf>
    <xf numFmtId="0" fontId="2" fillId="2" borderId="1" xfId="1">
      <alignment horizontal="center" vertical="center"/>
    </xf>
    <xf numFmtId="0" fontId="3" fillId="3" borderId="2" xfId="2">
      <alignment horizontal="right" vertical="center"/>
    </xf>
    <xf numFmtId="0" fontId="0" fillId="0" borderId="0" xfId="0" quotePrefix="1">
      <alignment vertical="center"/>
    </xf>
    <xf numFmtId="0" fontId="2" fillId="4" borderId="0" xfId="0" applyFont="1" applyFill="1">
      <alignment vertical="center"/>
    </xf>
    <xf numFmtId="0" fontId="7" fillId="0" borderId="0" xfId="0" quotePrefix="1" applyFont="1">
      <alignment vertical="center"/>
    </xf>
    <xf numFmtId="176" fontId="3" fillId="3" borderId="2" xfId="2" applyNumberFormat="1">
      <alignment horizontal="right" vertical="center"/>
    </xf>
    <xf numFmtId="177" fontId="0" fillId="0" borderId="0" xfId="0" applyNumberFormat="1">
      <alignment vertical="center"/>
    </xf>
    <xf numFmtId="14" fontId="3" fillId="3" borderId="2" xfId="2" applyNumberFormat="1">
      <alignment horizontal="right" vertical="center"/>
    </xf>
    <xf numFmtId="14" fontId="3" fillId="3" borderId="2" xfId="3">
      <alignment horizontal="right" vertical="center"/>
    </xf>
    <xf numFmtId="0" fontId="0" fillId="3" borderId="2" xfId="2" applyFont="1">
      <alignment horizontal="right" vertical="center"/>
    </xf>
  </cellXfs>
  <cellStyles count="4">
    <cellStyle name="고정된항목" xfId="1"/>
    <cellStyle name="입력변수" xfId="2"/>
    <cellStyle name="입력변수(날짜)" xfId="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0</xdr:row>
          <xdr:rowOff>85725</xdr:rowOff>
        </xdr:from>
        <xdr:to>
          <xdr:col>12</xdr:col>
          <xdr:colOff>647700</xdr:colOff>
          <xdr:row>2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9525</xdr:rowOff>
        </xdr:from>
        <xdr:to>
          <xdr:col>7</xdr:col>
          <xdr:colOff>47625</xdr:colOff>
          <xdr:row>15</xdr:row>
          <xdr:rowOff>9525</xdr:rowOff>
        </xdr:to>
        <xdr:sp macro="" textlink="">
          <xdr:nvSpPr>
            <xdr:cNvPr id="1038" name="refCombobox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1095375</xdr:colOff>
          <xdr:row>14</xdr:row>
          <xdr:rowOff>0</xdr:rowOff>
        </xdr:from>
        <xdr:to>
          <xdr:col>6</xdr:col>
          <xdr:colOff>28575</xdr:colOff>
          <xdr:row>15</xdr:row>
          <xdr:rowOff>0</xdr:rowOff>
        </xdr:to>
        <xdr:sp macro="" textlink="">
          <xdr:nvSpPr>
            <xdr:cNvPr id="1039" name="refComboBox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1104900</xdr:colOff>
          <xdr:row>15</xdr:row>
          <xdr:rowOff>0</xdr:rowOff>
        </xdr:from>
        <xdr:to>
          <xdr:col>6</xdr:col>
          <xdr:colOff>28575</xdr:colOff>
          <xdr:row>16</xdr:row>
          <xdr:rowOff>0</xdr:rowOff>
        </xdr:to>
        <xdr:sp macro="" textlink="">
          <xdr:nvSpPr>
            <xdr:cNvPr id="1041" name="refTypeCombobox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</xdr:row>
          <xdr:rowOff>247650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1042" name="refTypeCombobox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1095375</xdr:colOff>
          <xdr:row>8</xdr:row>
          <xdr:rowOff>9525</xdr:rowOff>
        </xdr:from>
        <xdr:to>
          <xdr:col>6</xdr:col>
          <xdr:colOff>28575</xdr:colOff>
          <xdr:row>9</xdr:row>
          <xdr:rowOff>9525</xdr:rowOff>
        </xdr:to>
        <xdr:sp macro="" textlink="">
          <xdr:nvSpPr>
            <xdr:cNvPr id="1043" name="dcfCombobox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43"/>
  <sheetViews>
    <sheetView tabSelected="1" zoomScale="85" zoomScaleNormal="85" workbookViewId="0">
      <pane xSplit="5" ySplit="3" topLeftCell="F4" activePane="bottomRight" state="frozen"/>
      <selection pane="topRight" activeCell="D1" sqref="D1"/>
      <selection pane="bottomLeft" activeCell="A4" sqref="A4"/>
      <selection pane="bottomRight" activeCell="M3" sqref="M3"/>
    </sheetView>
  </sheetViews>
  <sheetFormatPr defaultRowHeight="21" customHeight="1" x14ac:dyDescent="0.3"/>
  <cols>
    <col min="1" max="1" width="2.5" customWidth="1"/>
    <col min="2" max="2" width="18.625" bestFit="1" customWidth="1"/>
    <col min="3" max="3" width="16.75" bestFit="1" customWidth="1"/>
    <col min="4" max="4" width="12.125" bestFit="1" customWidth="1"/>
    <col min="5" max="5" width="14.625" bestFit="1" customWidth="1"/>
    <col min="6" max="7" width="18" customWidth="1"/>
    <col min="8" max="19" width="11.125" customWidth="1"/>
  </cols>
  <sheetData>
    <row r="1" spans="2:9" ht="21" customHeight="1" x14ac:dyDescent="0.3">
      <c r="C1" s="2" t="s">
        <v>0</v>
      </c>
      <c r="D1" s="2" t="s">
        <v>1</v>
      </c>
      <c r="E1" s="2"/>
      <c r="F1" s="2" t="s">
        <v>2</v>
      </c>
      <c r="H1" s="2" t="s">
        <v>17</v>
      </c>
    </row>
    <row r="3" spans="2:9" ht="21" customHeight="1" x14ac:dyDescent="0.3">
      <c r="C3" t="s">
        <v>4</v>
      </c>
      <c r="D3" t="s">
        <v>3</v>
      </c>
      <c r="F3" s="12">
        <v>41740</v>
      </c>
      <c r="G3" s="4"/>
      <c r="H3" s="11">
        <v>0.9200921879815519</v>
      </c>
    </row>
    <row r="5" spans="2:9" ht="21" customHeight="1" x14ac:dyDescent="0.3">
      <c r="B5" s="8" t="s">
        <v>20</v>
      </c>
    </row>
    <row r="6" spans="2:9" ht="21" customHeight="1" x14ac:dyDescent="0.3">
      <c r="B6" t="s">
        <v>26</v>
      </c>
      <c r="C6" t="s">
        <v>23</v>
      </c>
      <c r="F6" s="6">
        <v>1</v>
      </c>
      <c r="G6" s="6" t="s">
        <v>27</v>
      </c>
    </row>
    <row r="7" spans="2:9" ht="21" customHeight="1" x14ac:dyDescent="0.3">
      <c r="B7" t="s">
        <v>21</v>
      </c>
      <c r="C7" t="s">
        <v>24</v>
      </c>
      <c r="F7" s="13">
        <v>41741</v>
      </c>
      <c r="G7" s="4"/>
    </row>
    <row r="8" spans="2:9" ht="21" customHeight="1" x14ac:dyDescent="0.3">
      <c r="B8" t="s">
        <v>22</v>
      </c>
      <c r="C8" t="s">
        <v>25</v>
      </c>
      <c r="F8" s="13">
        <f>Q32</f>
        <v>42833</v>
      </c>
    </row>
    <row r="9" spans="2:9" s="3" customFormat="1" ht="21" customHeight="1" x14ac:dyDescent="0.3">
      <c r="B9" s="3" t="s">
        <v>35</v>
      </c>
      <c r="C9" s="3" t="s">
        <v>36</v>
      </c>
      <c r="F9" s="6" t="s">
        <v>53</v>
      </c>
      <c r="G9" s="3" t="str">
        <f>RIGHT(F9,3)</f>
        <v>365</v>
      </c>
    </row>
    <row r="10" spans="2:9" s="3" customFormat="1" ht="21" customHeight="1" x14ac:dyDescent="0.3">
      <c r="B10" s="3" t="s">
        <v>97</v>
      </c>
      <c r="C10" s="3" t="s">
        <v>98</v>
      </c>
      <c r="F10" s="6" t="b">
        <v>1</v>
      </c>
    </row>
    <row r="12" spans="2:9" ht="21" customHeight="1" x14ac:dyDescent="0.3">
      <c r="B12" s="8" t="s">
        <v>61</v>
      </c>
    </row>
    <row r="13" spans="2:9" s="3" customFormat="1" ht="21" customHeight="1" x14ac:dyDescent="0.3">
      <c r="B13" s="9" t="s">
        <v>99</v>
      </c>
      <c r="C13" s="3" t="s">
        <v>100</v>
      </c>
      <c r="F13" s="3">
        <f>COUNT(F17:XFD17)</f>
        <v>1</v>
      </c>
    </row>
    <row r="14" spans="2:9" s="3" customFormat="1" ht="21" customHeight="1" x14ac:dyDescent="0.3">
      <c r="B14" s="9"/>
      <c r="F14" s="5" t="s">
        <v>65</v>
      </c>
      <c r="G14" s="5" t="s">
        <v>66</v>
      </c>
      <c r="H14"/>
    </row>
    <row r="15" spans="2:9" ht="21" customHeight="1" x14ac:dyDescent="0.3">
      <c r="B15" s="9" t="s">
        <v>28</v>
      </c>
      <c r="C15" t="s">
        <v>67</v>
      </c>
      <c r="D15" t="s">
        <v>59</v>
      </c>
      <c r="F15" s="6" t="s">
        <v>110</v>
      </c>
      <c r="G15" s="6" t="s">
        <v>124</v>
      </c>
    </row>
    <row r="16" spans="2:9" ht="21" customHeight="1" x14ac:dyDescent="0.3">
      <c r="B16" s="7" t="s">
        <v>29</v>
      </c>
      <c r="C16" t="s">
        <v>62</v>
      </c>
      <c r="D16" t="s">
        <v>30</v>
      </c>
      <c r="F16" s="6" t="s">
        <v>111</v>
      </c>
      <c r="G16" s="6" t="s">
        <v>111</v>
      </c>
      <c r="H16" s="3"/>
      <c r="I16" s="3"/>
    </row>
    <row r="17" spans="2:17" s="3" customFormat="1" ht="21" customHeight="1" x14ac:dyDescent="0.3">
      <c r="B17" s="7" t="s">
        <v>60</v>
      </c>
      <c r="C17" s="3" t="s">
        <v>63</v>
      </c>
      <c r="F17" s="6">
        <v>0.25</v>
      </c>
      <c r="G17" s="6"/>
      <c r="H17"/>
    </row>
    <row r="18" spans="2:17" ht="21" customHeight="1" x14ac:dyDescent="0.3">
      <c r="B18" s="7" t="s">
        <v>31</v>
      </c>
      <c r="C18" t="s">
        <v>64</v>
      </c>
      <c r="F18" s="14" t="s">
        <v>112</v>
      </c>
      <c r="G18" s="14"/>
      <c r="H18" s="3"/>
    </row>
    <row r="19" spans="2:17" s="3" customFormat="1" ht="21" customHeight="1" x14ac:dyDescent="0.3">
      <c r="B19" s="7" t="s">
        <v>101</v>
      </c>
      <c r="F19" s="14" t="s">
        <v>113</v>
      </c>
      <c r="G19" s="14"/>
    </row>
    <row r="20" spans="2:17" s="3" customFormat="1" ht="21" customHeight="1" x14ac:dyDescent="0.3">
      <c r="B20" s="7" t="s">
        <v>105</v>
      </c>
      <c r="F20" s="14" t="s">
        <v>114</v>
      </c>
      <c r="G20" s="14"/>
    </row>
    <row r="21" spans="2:17" s="3" customFormat="1" ht="21" customHeight="1" x14ac:dyDescent="0.3">
      <c r="B21" s="7" t="s">
        <v>102</v>
      </c>
      <c r="F21" s="6"/>
      <c r="G21" s="6"/>
    </row>
    <row r="22" spans="2:17" s="3" customFormat="1" ht="21" customHeight="1" x14ac:dyDescent="0.3">
      <c r="B22" s="7" t="s">
        <v>107</v>
      </c>
      <c r="F22" s="6"/>
      <c r="G22" s="6"/>
      <c r="H22"/>
    </row>
    <row r="23" spans="2:17" ht="21" customHeight="1" x14ac:dyDescent="0.3">
      <c r="H23" s="3"/>
    </row>
    <row r="24" spans="2:17" s="3" customFormat="1" ht="21" customHeight="1" x14ac:dyDescent="0.3">
      <c r="B24" s="8" t="s">
        <v>103</v>
      </c>
    </row>
    <row r="25" spans="2:17" s="3" customFormat="1" ht="21" customHeight="1" x14ac:dyDescent="0.3">
      <c r="B25" s="7" t="s">
        <v>104</v>
      </c>
      <c r="F25" s="14" t="s">
        <v>115</v>
      </c>
    </row>
    <row r="26" spans="2:17" s="3" customFormat="1" ht="21" customHeight="1" x14ac:dyDescent="0.3">
      <c r="B26" s="7" t="s">
        <v>106</v>
      </c>
      <c r="F26" s="14" t="s">
        <v>116</v>
      </c>
    </row>
    <row r="27" spans="2:17" s="3" customFormat="1" ht="21" customHeight="1" x14ac:dyDescent="0.3">
      <c r="H27"/>
    </row>
    <row r="28" spans="2:17" ht="21" customHeight="1" x14ac:dyDescent="0.3">
      <c r="B28" s="8" t="s">
        <v>33</v>
      </c>
      <c r="H28" s="3"/>
    </row>
    <row r="29" spans="2:17" s="3" customFormat="1" ht="21" customHeight="1" x14ac:dyDescent="0.3">
      <c r="B29" s="9" t="s">
        <v>37</v>
      </c>
      <c r="C29" s="3" t="s">
        <v>38</v>
      </c>
      <c r="F29" s="3">
        <f>COUNT(F31:XFD31)</f>
        <v>12</v>
      </c>
      <c r="H29"/>
    </row>
    <row r="30" spans="2:17" ht="21" customHeight="1" x14ac:dyDescent="0.3">
      <c r="B30" s="7" t="s">
        <v>34</v>
      </c>
      <c r="F30">
        <v>0.25</v>
      </c>
      <c r="G30">
        <f>ROUND(F30*G9,0)</f>
        <v>91</v>
      </c>
    </row>
    <row r="31" spans="2:17" s="3" customFormat="1" ht="21" customHeight="1" x14ac:dyDescent="0.3">
      <c r="B31" s="7" t="s">
        <v>40</v>
      </c>
      <c r="F31" s="1">
        <f>F7</f>
        <v>41741</v>
      </c>
      <c r="G31" s="1">
        <f>F31+$G$30</f>
        <v>41832</v>
      </c>
      <c r="H31" s="1">
        <f>G31+$G$30</f>
        <v>41923</v>
      </c>
      <c r="I31" s="1">
        <f>H31+$G$30</f>
        <v>42014</v>
      </c>
      <c r="J31" s="1">
        <f t="shared" ref="J31:Q31" si="0">I31+$G$30</f>
        <v>42105</v>
      </c>
      <c r="K31" s="1">
        <f t="shared" si="0"/>
        <v>42196</v>
      </c>
      <c r="L31" s="1">
        <f t="shared" si="0"/>
        <v>42287</v>
      </c>
      <c r="M31" s="1">
        <f t="shared" si="0"/>
        <v>42378</v>
      </c>
      <c r="N31" s="1">
        <f t="shared" si="0"/>
        <v>42469</v>
      </c>
      <c r="O31" s="1">
        <f t="shared" si="0"/>
        <v>42560</v>
      </c>
      <c r="P31" s="1">
        <f t="shared" si="0"/>
        <v>42651</v>
      </c>
      <c r="Q31" s="1">
        <f t="shared" si="0"/>
        <v>42742</v>
      </c>
    </row>
    <row r="32" spans="2:17" ht="21" customHeight="1" x14ac:dyDescent="0.3">
      <c r="B32" s="7" t="s">
        <v>41</v>
      </c>
      <c r="C32" t="s">
        <v>39</v>
      </c>
      <c r="F32" s="1">
        <f>F31+$G$30</f>
        <v>41832</v>
      </c>
      <c r="G32" s="1">
        <f t="shared" ref="G32:Q32" si="1">G31+$G$30</f>
        <v>41923</v>
      </c>
      <c r="H32" s="1">
        <f>H31+$G$30</f>
        <v>42014</v>
      </c>
      <c r="I32" s="1">
        <f t="shared" si="1"/>
        <v>42105</v>
      </c>
      <c r="J32" s="1">
        <f t="shared" si="1"/>
        <v>42196</v>
      </c>
      <c r="K32" s="1">
        <f t="shared" si="1"/>
        <v>42287</v>
      </c>
      <c r="L32" s="1">
        <f t="shared" si="1"/>
        <v>42378</v>
      </c>
      <c r="M32" s="1">
        <f t="shared" si="1"/>
        <v>42469</v>
      </c>
      <c r="N32" s="1">
        <f t="shared" si="1"/>
        <v>42560</v>
      </c>
      <c r="O32" s="1">
        <f t="shared" si="1"/>
        <v>42651</v>
      </c>
      <c r="P32" s="1">
        <f t="shared" si="1"/>
        <v>42742</v>
      </c>
      <c r="Q32" s="1">
        <f t="shared" si="1"/>
        <v>42833</v>
      </c>
    </row>
    <row r="33" spans="2:17" ht="21" customHeight="1" x14ac:dyDescent="0.3">
      <c r="B33" s="7" t="s">
        <v>42</v>
      </c>
      <c r="C33" t="s">
        <v>43</v>
      </c>
      <c r="F33" s="10">
        <v>0.04</v>
      </c>
      <c r="G33" s="10">
        <v>0.04</v>
      </c>
      <c r="H33" s="10">
        <v>0.04</v>
      </c>
      <c r="I33" s="10">
        <v>0.04</v>
      </c>
      <c r="J33" s="10">
        <v>0.04</v>
      </c>
      <c r="K33" s="10">
        <v>0.04</v>
      </c>
      <c r="L33" s="10">
        <v>0.04</v>
      </c>
      <c r="M33" s="10">
        <v>0.04</v>
      </c>
      <c r="N33" s="10">
        <v>0.04</v>
      </c>
      <c r="O33" s="10">
        <v>0.04</v>
      </c>
      <c r="P33" s="10">
        <v>0.04</v>
      </c>
      <c r="Q33" s="10">
        <v>0.04</v>
      </c>
    </row>
    <row r="34" spans="2:17" ht="21" customHeight="1" x14ac:dyDescent="0.3">
      <c r="B34" s="7" t="s">
        <v>44</v>
      </c>
      <c r="C34" t="s">
        <v>45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</row>
    <row r="35" spans="2:17" ht="21" customHeight="1" x14ac:dyDescent="0.3">
      <c r="B35" s="7" t="s">
        <v>46</v>
      </c>
      <c r="C35" t="s">
        <v>48</v>
      </c>
      <c r="F35" s="10">
        <v>4.3999999999999997E-2</v>
      </c>
      <c r="G35" s="10">
        <v>4.3999999999999997E-2</v>
      </c>
      <c r="H35" s="10">
        <v>4.3999999999999997E-2</v>
      </c>
      <c r="I35" s="10">
        <v>4.3999999999999997E-2</v>
      </c>
      <c r="J35" s="10">
        <v>4.3999999999999997E-2</v>
      </c>
      <c r="K35" s="10">
        <v>4.3999999999999997E-2</v>
      </c>
      <c r="L35" s="10">
        <v>4.3999999999999997E-2</v>
      </c>
      <c r="M35" s="10">
        <v>4.3999999999999997E-2</v>
      </c>
      <c r="N35" s="10">
        <v>4.3999999999999997E-2</v>
      </c>
      <c r="O35" s="10">
        <v>4.3999999999999997E-2</v>
      </c>
      <c r="P35" s="10">
        <v>4.3999999999999997E-2</v>
      </c>
      <c r="Q35" s="10">
        <v>4.3999999999999997E-2</v>
      </c>
    </row>
    <row r="36" spans="2:17" ht="21" customHeight="1" x14ac:dyDescent="0.3">
      <c r="B36" s="7" t="s">
        <v>47</v>
      </c>
      <c r="C36" t="s">
        <v>49</v>
      </c>
      <c r="F36" s="10">
        <v>0.23</v>
      </c>
      <c r="G36" s="10">
        <v>0.23</v>
      </c>
      <c r="H36" s="10">
        <v>0.23</v>
      </c>
      <c r="I36" s="10">
        <v>0.23</v>
      </c>
      <c r="J36" s="10">
        <v>0.23</v>
      </c>
      <c r="K36" s="10">
        <v>0.23</v>
      </c>
      <c r="L36" s="10">
        <v>0.23</v>
      </c>
      <c r="M36" s="10">
        <v>0.23</v>
      </c>
      <c r="N36" s="10">
        <v>0.23</v>
      </c>
      <c r="O36" s="10">
        <v>0.23</v>
      </c>
      <c r="P36" s="10">
        <v>0.23</v>
      </c>
      <c r="Q36" s="10">
        <v>0.23</v>
      </c>
    </row>
    <row r="38" spans="2:17" ht="21" customHeight="1" x14ac:dyDescent="0.3">
      <c r="B38" s="8" t="s">
        <v>50</v>
      </c>
    </row>
    <row r="39" spans="2:17" ht="21" customHeight="1" x14ac:dyDescent="0.3">
      <c r="B39" s="7" t="s">
        <v>51</v>
      </c>
      <c r="C39" t="s">
        <v>52</v>
      </c>
      <c r="F39" s="6" t="b">
        <v>0</v>
      </c>
      <c r="G39" s="6" t="b">
        <v>1</v>
      </c>
      <c r="H39" s="6" t="b">
        <v>1</v>
      </c>
      <c r="I39" s="6" t="b">
        <v>1</v>
      </c>
      <c r="J39" s="6" t="b">
        <v>1</v>
      </c>
      <c r="K39" s="6" t="b">
        <v>1</v>
      </c>
      <c r="L39" s="6" t="b">
        <v>1</v>
      </c>
      <c r="M39" s="6" t="b">
        <v>1</v>
      </c>
      <c r="N39" s="6" t="b">
        <v>1</v>
      </c>
      <c r="O39" s="6" t="b">
        <v>1</v>
      </c>
      <c r="P39" s="6" t="b">
        <v>1</v>
      </c>
      <c r="Q39" s="6" t="b">
        <v>0</v>
      </c>
    </row>
    <row r="41" spans="2:17" ht="21" customHeight="1" x14ac:dyDescent="0.3">
      <c r="B41" s="8" t="s">
        <v>54</v>
      </c>
    </row>
    <row r="42" spans="2:17" ht="21" customHeight="1" x14ac:dyDescent="0.3">
      <c r="B42" t="s">
        <v>55</v>
      </c>
      <c r="C42" t="s">
        <v>56</v>
      </c>
      <c r="F42" s="6">
        <v>15</v>
      </c>
    </row>
    <row r="43" spans="2:17" ht="21" customHeight="1" x14ac:dyDescent="0.3">
      <c r="B43" t="s">
        <v>57</v>
      </c>
      <c r="C43" t="s">
        <v>58</v>
      </c>
      <c r="F43" s="6">
        <v>1000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refTypeCombobox2">
          <controlPr defaultSize="0" autoLine="0" linkedCell="G16" r:id="rId5">
            <anchor moveWithCells="1">
              <from>
                <xdr:col>6</xdr:col>
                <xdr:colOff>19050</xdr:colOff>
                <xdr:row>14</xdr:row>
                <xdr:rowOff>247650</xdr:rowOff>
              </from>
              <to>
                <xdr:col>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042" r:id="rId4" name="refTypeCombobox2"/>
      </mc:Fallback>
    </mc:AlternateContent>
    <mc:AlternateContent xmlns:mc="http://schemas.openxmlformats.org/markup-compatibility/2006">
      <mc:Choice Requires="x14">
        <control shapeId="1041" r:id="rId6" name="refTypeCombobox1">
          <controlPr defaultSize="0" autoLine="0" linkedCell="F16" r:id="rId7">
            <anchor moveWithCells="1">
              <from>
                <xdr:col>4</xdr:col>
                <xdr:colOff>1104900</xdr:colOff>
                <xdr:row>15</xdr:row>
                <xdr:rowOff>0</xdr:rowOff>
              </from>
              <to>
                <xdr:col>6</xdr:col>
                <xdr:colOff>28575</xdr:colOff>
                <xdr:row>16</xdr:row>
                <xdr:rowOff>0</xdr:rowOff>
              </to>
            </anchor>
          </controlPr>
        </control>
      </mc:Choice>
      <mc:Fallback>
        <control shapeId="1041" r:id="rId6" name="refTypeCombobox1"/>
      </mc:Fallback>
    </mc:AlternateContent>
    <mc:AlternateContent xmlns:mc="http://schemas.openxmlformats.org/markup-compatibility/2006">
      <mc:Choice Requires="x14">
        <control shapeId="1038" r:id="rId8" name="refCombobox2">
          <controlPr defaultSize="0" autoLine="0" linkedCell="G15" r:id="rId9">
            <anchor moveWithCells="1">
              <from>
                <xdr:col>6</xdr:col>
                <xdr:colOff>9525</xdr:colOff>
                <xdr:row>14</xdr:row>
                <xdr:rowOff>9525</xdr:rowOff>
              </from>
              <to>
                <xdr:col>7</xdr:col>
                <xdr:colOff>47625</xdr:colOff>
                <xdr:row>15</xdr:row>
                <xdr:rowOff>9525</xdr:rowOff>
              </to>
            </anchor>
          </controlPr>
        </control>
      </mc:Choice>
      <mc:Fallback>
        <control shapeId="1038" r:id="rId8" name="refCombobox2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autoLine="0" r:id="rId11">
            <anchor moveWithCells="1">
              <from>
                <xdr:col>11</xdr:col>
                <xdr:colOff>571500</xdr:colOff>
                <xdr:row>0</xdr:row>
                <xdr:rowOff>85725</xdr:rowOff>
              </from>
              <to>
                <xdr:col>12</xdr:col>
                <xdr:colOff>647700</xdr:colOff>
                <xdr:row>2</xdr:row>
                <xdr:rowOff>38100</xdr:rowOff>
              </to>
            </anchor>
          </controlPr>
        </control>
      </mc:Choice>
      <mc:Fallback>
        <control shapeId="1026" r:id="rId10" name="CommandButton1"/>
      </mc:Fallback>
    </mc:AlternateContent>
    <mc:AlternateContent xmlns:mc="http://schemas.openxmlformats.org/markup-compatibility/2006">
      <mc:Choice Requires="x14">
        <control shapeId="1039" r:id="rId12" name="refComboBox1">
          <controlPr defaultSize="0" autoLine="0" linkedCell="F15" r:id="rId13">
            <anchor moveWithCells="1">
              <from>
                <xdr:col>4</xdr:col>
                <xdr:colOff>1095375</xdr:colOff>
                <xdr:row>14</xdr:row>
                <xdr:rowOff>0</xdr:rowOff>
              </from>
              <to>
                <xdr:col>6</xdr:col>
                <xdr:colOff>28575</xdr:colOff>
                <xdr:row>15</xdr:row>
                <xdr:rowOff>0</xdr:rowOff>
              </to>
            </anchor>
          </controlPr>
        </control>
      </mc:Choice>
      <mc:Fallback>
        <control shapeId="1039" r:id="rId12" name="refComboBox1"/>
      </mc:Fallback>
    </mc:AlternateContent>
    <mc:AlternateContent xmlns:mc="http://schemas.openxmlformats.org/markup-compatibility/2006">
      <mc:Choice Requires="x14">
        <control shapeId="1043" r:id="rId14" name="dcfCombobox">
          <controlPr defaultSize="0" autoLine="0" linkedCell="F9" r:id="rId15">
            <anchor moveWithCells="1">
              <from>
                <xdr:col>4</xdr:col>
                <xdr:colOff>1095375</xdr:colOff>
                <xdr:row>8</xdr:row>
                <xdr:rowOff>9525</xdr:rowOff>
              </from>
              <to>
                <xdr:col>6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1043" r:id="rId14" name="dcfCombo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"/>
  <sheetViews>
    <sheetView workbookViewId="0">
      <selection activeCell="B16" sqref="B16"/>
    </sheetView>
  </sheetViews>
  <sheetFormatPr defaultRowHeight="16.5" x14ac:dyDescent="0.3"/>
  <cols>
    <col min="1" max="1" width="9.5" style="3" bestFit="1" customWidth="1"/>
    <col min="2" max="2" width="11.875" bestFit="1" customWidth="1"/>
  </cols>
  <sheetData>
    <row r="1" spans="1:5" x14ac:dyDescent="0.3">
      <c r="A1" s="3" t="s">
        <v>85</v>
      </c>
      <c r="B1" t="s">
        <v>92</v>
      </c>
      <c r="C1" t="s">
        <v>68</v>
      </c>
      <c r="D1" t="s">
        <v>69</v>
      </c>
      <c r="E1" t="s">
        <v>87</v>
      </c>
    </row>
    <row r="2" spans="1:5" x14ac:dyDescent="0.3">
      <c r="A2" s="3">
        <v>20141009</v>
      </c>
      <c r="B2" t="s">
        <v>118</v>
      </c>
      <c r="C2" t="s">
        <v>70</v>
      </c>
      <c r="D2">
        <v>2.4899999999999999E-2</v>
      </c>
      <c r="E2" t="s">
        <v>88</v>
      </c>
    </row>
    <row r="3" spans="1:5" x14ac:dyDescent="0.3">
      <c r="A3" s="3">
        <v>20141009</v>
      </c>
      <c r="B3" s="3" t="s">
        <v>84</v>
      </c>
      <c r="C3" t="s">
        <v>71</v>
      </c>
      <c r="D3">
        <v>2.6499999999999999E-2</v>
      </c>
      <c r="E3" t="s">
        <v>88</v>
      </c>
    </row>
    <row r="4" spans="1:5" x14ac:dyDescent="0.3">
      <c r="A4" s="3">
        <v>20141009</v>
      </c>
      <c r="B4" s="3" t="s">
        <v>84</v>
      </c>
      <c r="C4" t="s">
        <v>72</v>
      </c>
      <c r="D4">
        <v>2.6550000000000001E-2</v>
      </c>
      <c r="E4" t="s">
        <v>88</v>
      </c>
    </row>
    <row r="5" spans="1:5" x14ac:dyDescent="0.3">
      <c r="A5" s="3">
        <v>20141009</v>
      </c>
      <c r="B5" s="3" t="s">
        <v>84</v>
      </c>
      <c r="C5" t="s">
        <v>73</v>
      </c>
      <c r="D5">
        <v>2.665E-2</v>
      </c>
      <c r="E5" t="s">
        <v>88</v>
      </c>
    </row>
    <row r="6" spans="1:5" x14ac:dyDescent="0.3">
      <c r="A6" s="3">
        <v>20141009</v>
      </c>
      <c r="B6" s="3" t="s">
        <v>84</v>
      </c>
      <c r="C6" t="s">
        <v>74</v>
      </c>
      <c r="D6">
        <v>2.6800000000000001E-2</v>
      </c>
      <c r="E6" t="s">
        <v>89</v>
      </c>
    </row>
    <row r="7" spans="1:5" x14ac:dyDescent="0.3">
      <c r="A7" s="3">
        <v>20141009</v>
      </c>
      <c r="B7" s="3" t="s">
        <v>84</v>
      </c>
      <c r="C7" t="s">
        <v>75</v>
      </c>
      <c r="D7">
        <v>2.785E-2</v>
      </c>
      <c r="E7" t="s">
        <v>89</v>
      </c>
    </row>
    <row r="8" spans="1:5" x14ac:dyDescent="0.3">
      <c r="A8" s="3">
        <v>20141009</v>
      </c>
      <c r="B8" s="3" t="s">
        <v>84</v>
      </c>
      <c r="C8" t="s">
        <v>76</v>
      </c>
      <c r="D8">
        <v>2.8930000000000001E-2</v>
      </c>
      <c r="E8" t="s">
        <v>89</v>
      </c>
    </row>
    <row r="9" spans="1:5" x14ac:dyDescent="0.3">
      <c r="A9" s="3">
        <v>20141009</v>
      </c>
      <c r="B9" s="3" t="s">
        <v>84</v>
      </c>
      <c r="C9" t="s">
        <v>77</v>
      </c>
      <c r="D9">
        <v>2.9899999999999999E-2</v>
      </c>
      <c r="E9" t="s">
        <v>89</v>
      </c>
    </row>
    <row r="10" spans="1:5" x14ac:dyDescent="0.3">
      <c r="A10" s="3">
        <v>20141009</v>
      </c>
      <c r="B10" s="3" t="s">
        <v>84</v>
      </c>
      <c r="C10" t="s">
        <v>78</v>
      </c>
      <c r="D10">
        <v>3.0779999999999998E-2</v>
      </c>
      <c r="E10" t="s">
        <v>89</v>
      </c>
    </row>
    <row r="11" spans="1:5" x14ac:dyDescent="0.3">
      <c r="A11" s="3">
        <v>20141009</v>
      </c>
      <c r="B11" s="3" t="s">
        <v>84</v>
      </c>
      <c r="C11" t="s">
        <v>79</v>
      </c>
      <c r="D11">
        <v>3.2030000000000003E-2</v>
      </c>
      <c r="E11" t="s">
        <v>89</v>
      </c>
    </row>
    <row r="12" spans="1:5" x14ac:dyDescent="0.3">
      <c r="A12" s="3">
        <v>20141009</v>
      </c>
      <c r="B12" s="3" t="s">
        <v>84</v>
      </c>
      <c r="C12" t="s">
        <v>80</v>
      </c>
      <c r="D12">
        <v>3.3279999999999997E-2</v>
      </c>
      <c r="E12" t="s">
        <v>89</v>
      </c>
    </row>
    <row r="13" spans="1:5" x14ac:dyDescent="0.3">
      <c r="A13" s="3">
        <v>20141009</v>
      </c>
      <c r="B13" s="3" t="s">
        <v>84</v>
      </c>
      <c r="C13" t="s">
        <v>81</v>
      </c>
      <c r="D13">
        <v>3.363E-2</v>
      </c>
      <c r="E13" t="s">
        <v>89</v>
      </c>
    </row>
    <row r="14" spans="1:5" x14ac:dyDescent="0.3">
      <c r="A14" s="3">
        <v>20141009</v>
      </c>
      <c r="B14" s="3" t="s">
        <v>84</v>
      </c>
      <c r="C14" t="s">
        <v>82</v>
      </c>
      <c r="D14">
        <v>3.39E-2</v>
      </c>
      <c r="E14" t="s">
        <v>89</v>
      </c>
    </row>
    <row r="15" spans="1:5" x14ac:dyDescent="0.3">
      <c r="A15" s="3">
        <v>20141009</v>
      </c>
      <c r="B15" s="3" t="s">
        <v>84</v>
      </c>
      <c r="C15" t="s">
        <v>83</v>
      </c>
      <c r="D15">
        <v>3.5099999999999999E-2</v>
      </c>
      <c r="E15" t="s">
        <v>89</v>
      </c>
    </row>
    <row r="16" spans="1:5" x14ac:dyDescent="0.3">
      <c r="A16" s="3">
        <v>20141009</v>
      </c>
      <c r="B16" t="s">
        <v>120</v>
      </c>
      <c r="C16" s="3" t="s">
        <v>70</v>
      </c>
      <c r="D16">
        <v>2.4899999999999999E-2</v>
      </c>
      <c r="E16" s="3" t="s">
        <v>88</v>
      </c>
    </row>
    <row r="17" spans="1:5" x14ac:dyDescent="0.3">
      <c r="A17" s="3">
        <v>20141009</v>
      </c>
      <c r="B17" s="3" t="s">
        <v>86</v>
      </c>
      <c r="C17" s="3" t="s">
        <v>71</v>
      </c>
      <c r="D17">
        <v>2.8889999999999999E-2</v>
      </c>
      <c r="E17" s="3" t="s">
        <v>88</v>
      </c>
    </row>
    <row r="18" spans="1:5" x14ac:dyDescent="0.3">
      <c r="A18" s="3">
        <v>20141009</v>
      </c>
      <c r="B18" s="3" t="s">
        <v>86</v>
      </c>
      <c r="C18" s="3" t="s">
        <v>72</v>
      </c>
      <c r="D18">
        <v>2.9590000000000002E-2</v>
      </c>
      <c r="E18" s="3" t="s">
        <v>88</v>
      </c>
    </row>
    <row r="19" spans="1:5" x14ac:dyDescent="0.3">
      <c r="A19" s="3">
        <v>20141009</v>
      </c>
      <c r="B19" s="3" t="s">
        <v>86</v>
      </c>
      <c r="C19" s="3" t="s">
        <v>73</v>
      </c>
      <c r="D19">
        <v>3.014E-2</v>
      </c>
      <c r="E19" s="3" t="s">
        <v>88</v>
      </c>
    </row>
    <row r="20" spans="1:5" x14ac:dyDescent="0.3">
      <c r="A20" s="3">
        <v>20141009</v>
      </c>
      <c r="B20" s="3" t="s">
        <v>86</v>
      </c>
      <c r="C20" s="3" t="s">
        <v>74</v>
      </c>
      <c r="D20">
        <v>3.0509999999999999E-2</v>
      </c>
      <c r="E20" s="3" t="s">
        <v>89</v>
      </c>
    </row>
    <row r="21" spans="1:5" x14ac:dyDescent="0.3">
      <c r="A21" s="3">
        <v>20141009</v>
      </c>
      <c r="B21" s="3" t="s">
        <v>86</v>
      </c>
      <c r="C21" s="3" t="s">
        <v>75</v>
      </c>
      <c r="D21">
        <v>3.2539999999999999E-2</v>
      </c>
      <c r="E21" s="3" t="s">
        <v>89</v>
      </c>
    </row>
    <row r="22" spans="1:5" x14ac:dyDescent="0.3">
      <c r="A22" s="3">
        <v>20141009</v>
      </c>
      <c r="B22" s="3" t="s">
        <v>86</v>
      </c>
      <c r="C22" s="3" t="s">
        <v>76</v>
      </c>
      <c r="D22">
        <v>3.5040000000000002E-2</v>
      </c>
      <c r="E22" s="3" t="s">
        <v>89</v>
      </c>
    </row>
    <row r="23" spans="1:5" x14ac:dyDescent="0.3">
      <c r="A23" s="3">
        <v>20141009</v>
      </c>
      <c r="B23" s="3" t="s">
        <v>86</v>
      </c>
      <c r="C23" s="3" t="s">
        <v>77</v>
      </c>
      <c r="D23">
        <v>3.6159999999999998E-2</v>
      </c>
      <c r="E23" s="3" t="s">
        <v>89</v>
      </c>
    </row>
    <row r="24" spans="1:5" x14ac:dyDescent="0.3">
      <c r="A24" s="3">
        <v>20141009</v>
      </c>
      <c r="B24" s="3" t="s">
        <v>86</v>
      </c>
      <c r="C24" s="3" t="s">
        <v>78</v>
      </c>
      <c r="D24">
        <v>3.857E-2</v>
      </c>
      <c r="E24" s="3" t="s">
        <v>89</v>
      </c>
    </row>
    <row r="25" spans="1:5" x14ac:dyDescent="0.3">
      <c r="A25" s="3">
        <v>20141009</v>
      </c>
      <c r="B25" s="3" t="s">
        <v>86</v>
      </c>
      <c r="C25" s="3" t="s">
        <v>79</v>
      </c>
      <c r="D25">
        <v>4.1410000000000002E-2</v>
      </c>
      <c r="E25" s="3" t="s">
        <v>89</v>
      </c>
    </row>
    <row r="26" spans="1:5" x14ac:dyDescent="0.3">
      <c r="A26" s="3">
        <v>20141009</v>
      </c>
      <c r="B26" s="3" t="s">
        <v>86</v>
      </c>
      <c r="C26" s="3" t="s">
        <v>80</v>
      </c>
      <c r="D26">
        <v>4.4630000000000003E-2</v>
      </c>
      <c r="E26" s="3" t="s">
        <v>89</v>
      </c>
    </row>
    <row r="27" spans="1:5" x14ac:dyDescent="0.3">
      <c r="A27" s="3">
        <v>20141009</v>
      </c>
      <c r="B27" s="3" t="s">
        <v>86</v>
      </c>
      <c r="C27" s="3" t="s">
        <v>81</v>
      </c>
      <c r="D27">
        <v>4.5990000000000003E-2</v>
      </c>
      <c r="E27" s="3" t="s">
        <v>89</v>
      </c>
    </row>
    <row r="28" spans="1:5" x14ac:dyDescent="0.3">
      <c r="A28" s="3">
        <v>20141009</v>
      </c>
      <c r="B28" s="3" t="s">
        <v>86</v>
      </c>
      <c r="C28" s="3" t="s">
        <v>82</v>
      </c>
      <c r="D28">
        <v>4.8030000000000003E-2</v>
      </c>
      <c r="E28" s="3" t="s">
        <v>89</v>
      </c>
    </row>
    <row r="29" spans="1:5" x14ac:dyDescent="0.3">
      <c r="A29" s="3">
        <v>20141009</v>
      </c>
      <c r="B29" s="3" t="s">
        <v>86</v>
      </c>
      <c r="C29" s="3" t="s">
        <v>83</v>
      </c>
      <c r="D29">
        <v>4.922E-2</v>
      </c>
      <c r="E29" s="3" t="s">
        <v>89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5"/>
  <sheetViews>
    <sheetView workbookViewId="0">
      <selection activeCell="B12" sqref="B12"/>
    </sheetView>
  </sheetViews>
  <sheetFormatPr defaultRowHeight="16.5" x14ac:dyDescent="0.3"/>
  <cols>
    <col min="1" max="1" width="9.5" bestFit="1" customWidth="1"/>
    <col min="2" max="2" width="13.75" bestFit="1" customWidth="1"/>
  </cols>
  <sheetData>
    <row r="1" spans="1:5" x14ac:dyDescent="0.3">
      <c r="A1" t="s">
        <v>90</v>
      </c>
      <c r="B1" t="s">
        <v>91</v>
      </c>
      <c r="C1" t="s">
        <v>96</v>
      </c>
      <c r="D1" t="s">
        <v>93</v>
      </c>
      <c r="E1" t="s">
        <v>94</v>
      </c>
    </row>
    <row r="2" spans="1:5" x14ac:dyDescent="0.3">
      <c r="A2">
        <v>20141009</v>
      </c>
      <c r="B2" t="s">
        <v>95</v>
      </c>
      <c r="C2" t="s">
        <v>18</v>
      </c>
      <c r="D2" t="s">
        <v>74</v>
      </c>
      <c r="E2">
        <v>0.109</v>
      </c>
    </row>
    <row r="3" spans="1:5" x14ac:dyDescent="0.3">
      <c r="A3" s="3">
        <v>20141009</v>
      </c>
      <c r="B3" s="3" t="s">
        <v>95</v>
      </c>
      <c r="C3" s="3" t="s">
        <v>18</v>
      </c>
      <c r="D3" t="s">
        <v>75</v>
      </c>
      <c r="E3">
        <v>0.13300000000000001</v>
      </c>
    </row>
    <row r="4" spans="1:5" x14ac:dyDescent="0.3">
      <c r="A4" s="3">
        <v>20141009</v>
      </c>
      <c r="B4" s="3" t="s">
        <v>95</v>
      </c>
      <c r="C4" s="3" t="s">
        <v>18</v>
      </c>
      <c r="D4" t="s">
        <v>76</v>
      </c>
      <c r="E4">
        <v>0.14000000000000001</v>
      </c>
    </row>
    <row r="5" spans="1:5" x14ac:dyDescent="0.3">
      <c r="A5" s="3">
        <v>20141009</v>
      </c>
      <c r="B5" s="3" t="s">
        <v>95</v>
      </c>
      <c r="C5" s="3" t="s">
        <v>18</v>
      </c>
      <c r="D5" t="s">
        <v>77</v>
      </c>
      <c r="E5">
        <v>0.1525</v>
      </c>
    </row>
    <row r="6" spans="1:5" x14ac:dyDescent="0.3">
      <c r="A6" s="3">
        <v>20141009</v>
      </c>
      <c r="B6" s="3" t="s">
        <v>95</v>
      </c>
      <c r="C6" s="3" t="s">
        <v>18</v>
      </c>
      <c r="D6" t="s">
        <v>78</v>
      </c>
      <c r="E6">
        <v>0.16550000000000001</v>
      </c>
    </row>
    <row r="7" spans="1:5" x14ac:dyDescent="0.3">
      <c r="A7" s="3">
        <v>20141009</v>
      </c>
      <c r="B7" s="3" t="s">
        <v>95</v>
      </c>
      <c r="C7" s="3" t="s">
        <v>18</v>
      </c>
      <c r="D7" t="s">
        <v>79</v>
      </c>
      <c r="E7">
        <v>0.16950000000000001</v>
      </c>
    </row>
    <row r="8" spans="1:5" x14ac:dyDescent="0.3">
      <c r="A8" s="3">
        <v>20141009</v>
      </c>
      <c r="B8" s="3" t="s">
        <v>95</v>
      </c>
      <c r="C8" s="3" t="s">
        <v>18</v>
      </c>
      <c r="D8" t="s">
        <v>80</v>
      </c>
      <c r="E8">
        <v>0.17</v>
      </c>
    </row>
    <row r="9" spans="1:5" x14ac:dyDescent="0.3">
      <c r="A9" s="3">
        <v>20141009</v>
      </c>
      <c r="B9" s="3" t="s">
        <v>95</v>
      </c>
      <c r="C9" s="3" t="s">
        <v>18</v>
      </c>
      <c r="D9" t="s">
        <v>81</v>
      </c>
      <c r="E9">
        <v>0.16350000000000001</v>
      </c>
    </row>
    <row r="10" spans="1:5" x14ac:dyDescent="0.3">
      <c r="A10" s="3">
        <v>20141009</v>
      </c>
      <c r="B10" s="3" t="s">
        <v>95</v>
      </c>
      <c r="C10" s="3" t="s">
        <v>18</v>
      </c>
      <c r="D10" t="s">
        <v>82</v>
      </c>
      <c r="E10">
        <v>0.159</v>
      </c>
    </row>
    <row r="11" spans="1:5" x14ac:dyDescent="0.3">
      <c r="A11" s="3">
        <v>20141009</v>
      </c>
      <c r="B11" s="3" t="s">
        <v>95</v>
      </c>
      <c r="C11" t="s">
        <v>71</v>
      </c>
      <c r="D11" s="3" t="s">
        <v>74</v>
      </c>
      <c r="E11">
        <v>0.12</v>
      </c>
    </row>
    <row r="12" spans="1:5" x14ac:dyDescent="0.3">
      <c r="A12" s="3">
        <v>20141009</v>
      </c>
      <c r="B12" s="3" t="s">
        <v>95</v>
      </c>
      <c r="C12" s="3" t="s">
        <v>71</v>
      </c>
      <c r="D12" s="3" t="s">
        <v>75</v>
      </c>
      <c r="E12">
        <v>0.13150000000000001</v>
      </c>
    </row>
    <row r="13" spans="1:5" x14ac:dyDescent="0.3">
      <c r="A13" s="3">
        <v>20141009</v>
      </c>
      <c r="B13" s="3" t="s">
        <v>95</v>
      </c>
      <c r="C13" s="3" t="s">
        <v>71</v>
      </c>
      <c r="D13" s="3" t="s">
        <v>76</v>
      </c>
      <c r="E13">
        <v>0.14699999999999999</v>
      </c>
    </row>
    <row r="14" spans="1:5" x14ac:dyDescent="0.3">
      <c r="A14" s="3">
        <v>20141009</v>
      </c>
      <c r="B14" s="3" t="s">
        <v>95</v>
      </c>
      <c r="C14" s="3" t="s">
        <v>71</v>
      </c>
      <c r="D14" s="3" t="s">
        <v>77</v>
      </c>
      <c r="E14">
        <v>0.16</v>
      </c>
    </row>
    <row r="15" spans="1:5" x14ac:dyDescent="0.3">
      <c r="A15" s="3">
        <v>20141009</v>
      </c>
      <c r="B15" s="3" t="s">
        <v>95</v>
      </c>
      <c r="C15" s="3" t="s">
        <v>71</v>
      </c>
      <c r="D15" s="3" t="s">
        <v>78</v>
      </c>
      <c r="E15">
        <v>0.17399999999999999</v>
      </c>
    </row>
    <row r="16" spans="1:5" x14ac:dyDescent="0.3">
      <c r="A16" s="3">
        <v>20141009</v>
      </c>
      <c r="B16" s="3" t="s">
        <v>95</v>
      </c>
      <c r="C16" s="3" t="s">
        <v>71</v>
      </c>
      <c r="D16" s="3" t="s">
        <v>79</v>
      </c>
      <c r="E16">
        <v>0.16900000000000001</v>
      </c>
    </row>
    <row r="17" spans="1:5" x14ac:dyDescent="0.3">
      <c r="A17" s="3">
        <v>20141009</v>
      </c>
      <c r="B17" s="3" t="s">
        <v>95</v>
      </c>
      <c r="C17" s="3" t="s">
        <v>71</v>
      </c>
      <c r="D17" s="3" t="s">
        <v>80</v>
      </c>
      <c r="E17">
        <v>0.16500000000000001</v>
      </c>
    </row>
    <row r="18" spans="1:5" x14ac:dyDescent="0.3">
      <c r="A18" s="3">
        <v>20141009</v>
      </c>
      <c r="B18" s="3" t="s">
        <v>95</v>
      </c>
      <c r="C18" s="3" t="s">
        <v>71</v>
      </c>
      <c r="D18" s="3" t="s">
        <v>81</v>
      </c>
      <c r="E18">
        <v>0.16200000000000001</v>
      </c>
    </row>
    <row r="19" spans="1:5" x14ac:dyDescent="0.3">
      <c r="A19" s="3">
        <v>20141009</v>
      </c>
      <c r="B19" s="3" t="s">
        <v>95</v>
      </c>
      <c r="C19" s="3" t="s">
        <v>71</v>
      </c>
      <c r="D19" s="3" t="s">
        <v>82</v>
      </c>
      <c r="E19">
        <v>0.157</v>
      </c>
    </row>
    <row r="20" spans="1:5" x14ac:dyDescent="0.3">
      <c r="A20" s="3">
        <v>20141009</v>
      </c>
      <c r="B20" s="3" t="s">
        <v>95</v>
      </c>
      <c r="C20" t="s">
        <v>5</v>
      </c>
      <c r="D20" s="3" t="s">
        <v>74</v>
      </c>
      <c r="E20">
        <v>0.1305</v>
      </c>
    </row>
    <row r="21" spans="1:5" x14ac:dyDescent="0.3">
      <c r="A21" s="3">
        <v>20141009</v>
      </c>
      <c r="B21" s="3" t="s">
        <v>95</v>
      </c>
      <c r="C21" s="3" t="s">
        <v>5</v>
      </c>
      <c r="D21" s="3" t="s">
        <v>75</v>
      </c>
      <c r="E21">
        <v>0.13950000000000001</v>
      </c>
    </row>
    <row r="22" spans="1:5" x14ac:dyDescent="0.3">
      <c r="A22" s="3">
        <v>20141009</v>
      </c>
      <c r="B22" s="3" t="s">
        <v>95</v>
      </c>
      <c r="C22" s="3" t="s">
        <v>5</v>
      </c>
      <c r="D22" s="3" t="s">
        <v>76</v>
      </c>
      <c r="E22">
        <v>0.14899999999999999</v>
      </c>
    </row>
    <row r="23" spans="1:5" x14ac:dyDescent="0.3">
      <c r="A23" s="3">
        <v>20141009</v>
      </c>
      <c r="B23" s="3" t="s">
        <v>95</v>
      </c>
      <c r="C23" s="3" t="s">
        <v>5</v>
      </c>
      <c r="D23" s="3" t="s">
        <v>77</v>
      </c>
      <c r="E23">
        <v>0.158</v>
      </c>
    </row>
    <row r="24" spans="1:5" x14ac:dyDescent="0.3">
      <c r="A24" s="3">
        <v>20141009</v>
      </c>
      <c r="B24" s="3" t="s">
        <v>95</v>
      </c>
      <c r="C24" s="3" t="s">
        <v>5</v>
      </c>
      <c r="D24" s="3" t="s">
        <v>78</v>
      </c>
      <c r="E24">
        <v>0.16800000000000001</v>
      </c>
    </row>
    <row r="25" spans="1:5" x14ac:dyDescent="0.3">
      <c r="A25" s="3">
        <v>20141009</v>
      </c>
      <c r="B25" s="3" t="s">
        <v>95</v>
      </c>
      <c r="C25" s="3" t="s">
        <v>5</v>
      </c>
      <c r="D25" s="3" t="s">
        <v>79</v>
      </c>
      <c r="E25">
        <v>0.16500000000000001</v>
      </c>
    </row>
    <row r="26" spans="1:5" x14ac:dyDescent="0.3">
      <c r="A26" s="3">
        <v>20141009</v>
      </c>
      <c r="B26" s="3" t="s">
        <v>95</v>
      </c>
      <c r="C26" s="3" t="s">
        <v>5</v>
      </c>
      <c r="D26" s="3" t="s">
        <v>80</v>
      </c>
      <c r="E26">
        <v>0.16300000000000001</v>
      </c>
    </row>
    <row r="27" spans="1:5" x14ac:dyDescent="0.3">
      <c r="A27" s="3">
        <v>20141009</v>
      </c>
      <c r="B27" s="3" t="s">
        <v>95</v>
      </c>
      <c r="C27" s="3" t="s">
        <v>5</v>
      </c>
      <c r="D27" s="3" t="s">
        <v>81</v>
      </c>
      <c r="E27">
        <v>0.159</v>
      </c>
    </row>
    <row r="28" spans="1:5" x14ac:dyDescent="0.3">
      <c r="A28" s="3">
        <v>20141009</v>
      </c>
      <c r="B28" s="3" t="s">
        <v>95</v>
      </c>
      <c r="C28" s="3" t="s">
        <v>5</v>
      </c>
      <c r="D28" s="3" t="s">
        <v>82</v>
      </c>
      <c r="E28">
        <v>0.155</v>
      </c>
    </row>
    <row r="29" spans="1:5" x14ac:dyDescent="0.3">
      <c r="A29" s="3">
        <v>20141009</v>
      </c>
      <c r="B29" s="3" t="s">
        <v>95</v>
      </c>
      <c r="C29" t="s">
        <v>6</v>
      </c>
      <c r="D29" s="3" t="s">
        <v>74</v>
      </c>
      <c r="E29">
        <v>0.13350000000000001</v>
      </c>
    </row>
    <row r="30" spans="1:5" x14ac:dyDescent="0.3">
      <c r="A30" s="3">
        <v>20141009</v>
      </c>
      <c r="B30" s="3" t="s">
        <v>95</v>
      </c>
      <c r="C30" s="3" t="s">
        <v>6</v>
      </c>
      <c r="D30" s="3" t="s">
        <v>75</v>
      </c>
      <c r="E30">
        <v>0.14050000000000001</v>
      </c>
    </row>
    <row r="31" spans="1:5" x14ac:dyDescent="0.3">
      <c r="A31" s="3">
        <v>20141009</v>
      </c>
      <c r="B31" s="3" t="s">
        <v>95</v>
      </c>
      <c r="C31" s="3" t="s">
        <v>6</v>
      </c>
      <c r="D31" s="3" t="s">
        <v>76</v>
      </c>
      <c r="E31">
        <v>0.14899999999999999</v>
      </c>
    </row>
    <row r="32" spans="1:5" x14ac:dyDescent="0.3">
      <c r="A32" s="3">
        <v>20141009</v>
      </c>
      <c r="B32" s="3" t="s">
        <v>95</v>
      </c>
      <c r="C32" s="3" t="s">
        <v>6</v>
      </c>
      <c r="D32" s="3" t="s">
        <v>77</v>
      </c>
      <c r="E32">
        <v>0.157</v>
      </c>
    </row>
    <row r="33" spans="1:5" x14ac:dyDescent="0.3">
      <c r="A33" s="3">
        <v>20141009</v>
      </c>
      <c r="B33" s="3" t="s">
        <v>95</v>
      </c>
      <c r="C33" s="3" t="s">
        <v>6</v>
      </c>
      <c r="D33" s="3" t="s">
        <v>78</v>
      </c>
      <c r="E33">
        <v>0.16500000000000001</v>
      </c>
    </row>
    <row r="34" spans="1:5" x14ac:dyDescent="0.3">
      <c r="A34" s="3">
        <v>20141009</v>
      </c>
      <c r="B34" s="3" t="s">
        <v>95</v>
      </c>
      <c r="C34" s="3" t="s">
        <v>6</v>
      </c>
      <c r="D34" s="3" t="s">
        <v>79</v>
      </c>
      <c r="E34">
        <v>0.16</v>
      </c>
    </row>
    <row r="35" spans="1:5" x14ac:dyDescent="0.3">
      <c r="A35" s="3">
        <v>20141009</v>
      </c>
      <c r="B35" s="3" t="s">
        <v>95</v>
      </c>
      <c r="C35" s="3" t="s">
        <v>6</v>
      </c>
      <c r="D35" s="3" t="s">
        <v>80</v>
      </c>
      <c r="E35">
        <v>0.156</v>
      </c>
    </row>
    <row r="36" spans="1:5" x14ac:dyDescent="0.3">
      <c r="A36" s="3">
        <v>20141009</v>
      </c>
      <c r="B36" s="3" t="s">
        <v>95</v>
      </c>
      <c r="C36" s="3" t="s">
        <v>6</v>
      </c>
      <c r="D36" s="3" t="s">
        <v>81</v>
      </c>
      <c r="E36">
        <v>0.153</v>
      </c>
    </row>
    <row r="37" spans="1:5" x14ac:dyDescent="0.3">
      <c r="A37" s="3">
        <v>20141009</v>
      </c>
      <c r="B37" s="3" t="s">
        <v>95</v>
      </c>
      <c r="C37" s="3" t="s">
        <v>6</v>
      </c>
      <c r="D37" s="3" t="s">
        <v>82</v>
      </c>
      <c r="E37">
        <v>0.14799999999999999</v>
      </c>
    </row>
    <row r="38" spans="1:5" x14ac:dyDescent="0.3">
      <c r="A38" s="3">
        <v>20141009</v>
      </c>
      <c r="B38" s="3" t="s">
        <v>95</v>
      </c>
      <c r="C38" t="s">
        <v>7</v>
      </c>
      <c r="D38" s="3" t="s">
        <v>74</v>
      </c>
      <c r="E38">
        <v>0.13550000000000001</v>
      </c>
    </row>
    <row r="39" spans="1:5" x14ac:dyDescent="0.3">
      <c r="A39" s="3">
        <v>20141009</v>
      </c>
      <c r="B39" s="3" t="s">
        <v>95</v>
      </c>
      <c r="C39" s="3" t="s">
        <v>7</v>
      </c>
      <c r="D39" s="3" t="s">
        <v>75</v>
      </c>
      <c r="E39">
        <v>0.14149999999999999</v>
      </c>
    </row>
    <row r="40" spans="1:5" x14ac:dyDescent="0.3">
      <c r="A40" s="3">
        <v>20141009</v>
      </c>
      <c r="B40" s="3" t="s">
        <v>95</v>
      </c>
      <c r="C40" s="3" t="s">
        <v>7</v>
      </c>
      <c r="D40" s="3" t="s">
        <v>76</v>
      </c>
      <c r="E40">
        <v>0.14799999999999999</v>
      </c>
    </row>
    <row r="41" spans="1:5" x14ac:dyDescent="0.3">
      <c r="A41" s="3">
        <v>20141009</v>
      </c>
      <c r="B41" s="3" t="s">
        <v>95</v>
      </c>
      <c r="C41" s="3" t="s">
        <v>7</v>
      </c>
      <c r="D41" s="3" t="s">
        <v>77</v>
      </c>
      <c r="E41">
        <v>0.155</v>
      </c>
    </row>
    <row r="42" spans="1:5" x14ac:dyDescent="0.3">
      <c r="A42" s="3">
        <v>20141009</v>
      </c>
      <c r="B42" s="3" t="s">
        <v>95</v>
      </c>
      <c r="C42" s="3" t="s">
        <v>7</v>
      </c>
      <c r="D42" s="3" t="s">
        <v>78</v>
      </c>
      <c r="E42">
        <v>0.16300000000000001</v>
      </c>
    </row>
    <row r="43" spans="1:5" x14ac:dyDescent="0.3">
      <c r="A43" s="3">
        <v>20141009</v>
      </c>
      <c r="B43" s="3" t="s">
        <v>95</v>
      </c>
      <c r="C43" s="3" t="s">
        <v>7</v>
      </c>
      <c r="D43" s="3" t="s">
        <v>79</v>
      </c>
      <c r="E43">
        <v>0.159</v>
      </c>
    </row>
    <row r="44" spans="1:5" x14ac:dyDescent="0.3">
      <c r="A44" s="3">
        <v>20141009</v>
      </c>
      <c r="B44" s="3" t="s">
        <v>95</v>
      </c>
      <c r="C44" s="3" t="s">
        <v>7</v>
      </c>
      <c r="D44" s="3" t="s">
        <v>80</v>
      </c>
      <c r="E44">
        <v>0.1545</v>
      </c>
    </row>
    <row r="45" spans="1:5" x14ac:dyDescent="0.3">
      <c r="A45" s="3">
        <v>20141009</v>
      </c>
      <c r="B45" s="3" t="s">
        <v>95</v>
      </c>
      <c r="C45" s="3" t="s">
        <v>7</v>
      </c>
      <c r="D45" s="3" t="s">
        <v>81</v>
      </c>
      <c r="E45">
        <v>0.14649999999999999</v>
      </c>
    </row>
    <row r="46" spans="1:5" x14ac:dyDescent="0.3">
      <c r="A46" s="3">
        <v>20141009</v>
      </c>
      <c r="B46" s="3" t="s">
        <v>95</v>
      </c>
      <c r="C46" s="3" t="s">
        <v>7</v>
      </c>
      <c r="D46" s="3" t="s">
        <v>82</v>
      </c>
      <c r="E46">
        <v>0.14149999999999999</v>
      </c>
    </row>
    <row r="47" spans="1:5" x14ac:dyDescent="0.3">
      <c r="A47" s="3">
        <v>20141009</v>
      </c>
      <c r="B47" s="3" t="s">
        <v>95</v>
      </c>
      <c r="C47" t="s">
        <v>19</v>
      </c>
      <c r="D47" s="3" t="s">
        <v>74</v>
      </c>
      <c r="E47">
        <v>0.14299999999999999</v>
      </c>
    </row>
    <row r="48" spans="1:5" x14ac:dyDescent="0.3">
      <c r="A48" s="3">
        <v>20141009</v>
      </c>
      <c r="B48" s="3" t="s">
        <v>95</v>
      </c>
      <c r="C48" s="3" t="s">
        <v>19</v>
      </c>
      <c r="D48" s="3" t="s">
        <v>75</v>
      </c>
      <c r="E48">
        <v>0.14799999999999999</v>
      </c>
    </row>
    <row r="49" spans="1:5" x14ac:dyDescent="0.3">
      <c r="A49" s="3">
        <v>20141009</v>
      </c>
      <c r="B49" s="3" t="s">
        <v>95</v>
      </c>
      <c r="C49" s="3" t="s">
        <v>19</v>
      </c>
      <c r="D49" s="3" t="s">
        <v>76</v>
      </c>
      <c r="E49">
        <v>0.15049999999999999</v>
      </c>
    </row>
    <row r="50" spans="1:5" x14ac:dyDescent="0.3">
      <c r="A50" s="3">
        <v>20141009</v>
      </c>
      <c r="B50" s="3" t="s">
        <v>95</v>
      </c>
      <c r="C50" s="3" t="s">
        <v>19</v>
      </c>
      <c r="D50" s="3" t="s">
        <v>77</v>
      </c>
      <c r="E50">
        <v>0.1545</v>
      </c>
    </row>
    <row r="51" spans="1:5" x14ac:dyDescent="0.3">
      <c r="A51" s="3">
        <v>20141009</v>
      </c>
      <c r="B51" s="3" t="s">
        <v>95</v>
      </c>
      <c r="C51" s="3" t="s">
        <v>19</v>
      </c>
      <c r="D51" s="3" t="s">
        <v>78</v>
      </c>
      <c r="E51">
        <v>0.159</v>
      </c>
    </row>
    <row r="52" spans="1:5" x14ac:dyDescent="0.3">
      <c r="A52" s="3">
        <v>20141009</v>
      </c>
      <c r="B52" s="3" t="s">
        <v>95</v>
      </c>
      <c r="C52" s="3" t="s">
        <v>19</v>
      </c>
      <c r="D52" s="3" t="s">
        <v>79</v>
      </c>
      <c r="E52">
        <v>0.1535</v>
      </c>
    </row>
    <row r="53" spans="1:5" x14ac:dyDescent="0.3">
      <c r="A53" s="3">
        <v>20141009</v>
      </c>
      <c r="B53" s="3" t="s">
        <v>95</v>
      </c>
      <c r="C53" s="3" t="s">
        <v>19</v>
      </c>
      <c r="D53" s="3" t="s">
        <v>80</v>
      </c>
      <c r="E53">
        <v>0.15</v>
      </c>
    </row>
    <row r="54" spans="1:5" x14ac:dyDescent="0.3">
      <c r="A54" s="3">
        <v>20141009</v>
      </c>
      <c r="B54" s="3" t="s">
        <v>95</v>
      </c>
      <c r="C54" s="3" t="s">
        <v>19</v>
      </c>
      <c r="D54" s="3" t="s">
        <v>81</v>
      </c>
      <c r="E54">
        <v>0.14099999999999999</v>
      </c>
    </row>
    <row r="55" spans="1:5" x14ac:dyDescent="0.3">
      <c r="A55" s="3">
        <v>20141009</v>
      </c>
      <c r="B55" s="3" t="s">
        <v>95</v>
      </c>
      <c r="C55" s="3" t="s">
        <v>19</v>
      </c>
      <c r="D55" s="3" t="s">
        <v>82</v>
      </c>
      <c r="E55">
        <v>0.13600000000000001</v>
      </c>
    </row>
    <row r="56" spans="1:5" x14ac:dyDescent="0.3">
      <c r="A56" s="3">
        <v>20141009</v>
      </c>
      <c r="B56" s="3" t="s">
        <v>95</v>
      </c>
      <c r="C56" t="s">
        <v>8</v>
      </c>
      <c r="D56" s="3" t="s">
        <v>74</v>
      </c>
      <c r="E56">
        <v>0.154</v>
      </c>
    </row>
    <row r="57" spans="1:5" x14ac:dyDescent="0.3">
      <c r="A57" s="3">
        <v>20141009</v>
      </c>
      <c r="B57" s="3" t="s">
        <v>95</v>
      </c>
      <c r="C57" s="3" t="s">
        <v>8</v>
      </c>
      <c r="D57" s="3" t="s">
        <v>75</v>
      </c>
      <c r="E57">
        <v>0.156</v>
      </c>
    </row>
    <row r="58" spans="1:5" x14ac:dyDescent="0.3">
      <c r="A58" s="3">
        <v>20141009</v>
      </c>
      <c r="B58" s="3" t="s">
        <v>95</v>
      </c>
      <c r="C58" s="3" t="s">
        <v>8</v>
      </c>
      <c r="D58" s="3" t="s">
        <v>76</v>
      </c>
      <c r="E58">
        <v>0.153</v>
      </c>
    </row>
    <row r="59" spans="1:5" x14ac:dyDescent="0.3">
      <c r="A59" s="3">
        <v>20141009</v>
      </c>
      <c r="B59" s="3" t="s">
        <v>95</v>
      </c>
      <c r="C59" s="3" t="s">
        <v>8</v>
      </c>
      <c r="D59" s="3" t="s">
        <v>77</v>
      </c>
      <c r="E59">
        <v>0.1545</v>
      </c>
    </row>
    <row r="60" spans="1:5" x14ac:dyDescent="0.3">
      <c r="A60" s="3">
        <v>20141009</v>
      </c>
      <c r="B60" s="3" t="s">
        <v>95</v>
      </c>
      <c r="C60" s="3" t="s">
        <v>8</v>
      </c>
      <c r="D60" s="3" t="s">
        <v>78</v>
      </c>
      <c r="E60">
        <v>0.156</v>
      </c>
    </row>
    <row r="61" spans="1:5" x14ac:dyDescent="0.3">
      <c r="A61" s="3">
        <v>20141009</v>
      </c>
      <c r="B61" s="3" t="s">
        <v>95</v>
      </c>
      <c r="C61" s="3" t="s">
        <v>8</v>
      </c>
      <c r="D61" s="3" t="s">
        <v>79</v>
      </c>
      <c r="E61">
        <v>0.15</v>
      </c>
    </row>
    <row r="62" spans="1:5" x14ac:dyDescent="0.3">
      <c r="A62" s="3">
        <v>20141009</v>
      </c>
      <c r="B62" s="3" t="s">
        <v>95</v>
      </c>
      <c r="C62" s="3" t="s">
        <v>8</v>
      </c>
      <c r="D62" s="3" t="s">
        <v>80</v>
      </c>
      <c r="E62">
        <v>0.14599999999999999</v>
      </c>
    </row>
    <row r="63" spans="1:5" x14ac:dyDescent="0.3">
      <c r="A63" s="3">
        <v>20141009</v>
      </c>
      <c r="B63" s="3" t="s">
        <v>95</v>
      </c>
      <c r="C63" s="3" t="s">
        <v>8</v>
      </c>
      <c r="D63" s="3" t="s">
        <v>81</v>
      </c>
      <c r="E63">
        <v>0.13600000000000001</v>
      </c>
    </row>
    <row r="64" spans="1:5" x14ac:dyDescent="0.3">
      <c r="A64" s="3">
        <v>20141009</v>
      </c>
      <c r="B64" s="3" t="s">
        <v>95</v>
      </c>
      <c r="C64" s="3" t="s">
        <v>8</v>
      </c>
      <c r="D64" s="3" t="s">
        <v>82</v>
      </c>
      <c r="E64">
        <v>0.13100000000000001</v>
      </c>
    </row>
    <row r="65" spans="1:5" x14ac:dyDescent="0.3">
      <c r="A65" s="3">
        <v>20141009</v>
      </c>
      <c r="B65" s="3" t="s">
        <v>95</v>
      </c>
      <c r="C65" t="s">
        <v>9</v>
      </c>
      <c r="D65" s="3" t="s">
        <v>74</v>
      </c>
      <c r="E65">
        <v>0.16350000000000001</v>
      </c>
    </row>
    <row r="66" spans="1:5" x14ac:dyDescent="0.3">
      <c r="A66" s="3">
        <v>20141009</v>
      </c>
      <c r="B66" s="3" t="s">
        <v>95</v>
      </c>
      <c r="C66" s="3" t="s">
        <v>9</v>
      </c>
      <c r="D66" s="3" t="s">
        <v>75</v>
      </c>
      <c r="E66">
        <v>0.1585</v>
      </c>
    </row>
    <row r="67" spans="1:5" x14ac:dyDescent="0.3">
      <c r="A67" s="3">
        <v>20141009</v>
      </c>
      <c r="B67" s="3" t="s">
        <v>95</v>
      </c>
      <c r="C67" s="3" t="s">
        <v>9</v>
      </c>
      <c r="D67" s="3" t="s">
        <v>76</v>
      </c>
      <c r="E67">
        <v>0.1555</v>
      </c>
    </row>
    <row r="68" spans="1:5" x14ac:dyDescent="0.3">
      <c r="A68" s="3">
        <v>20141009</v>
      </c>
      <c r="B68" s="3" t="s">
        <v>95</v>
      </c>
      <c r="C68" s="3" t="s">
        <v>9</v>
      </c>
      <c r="D68" s="3" t="s">
        <v>77</v>
      </c>
      <c r="E68">
        <v>0.153</v>
      </c>
    </row>
    <row r="69" spans="1:5" x14ac:dyDescent="0.3">
      <c r="A69" s="3">
        <v>20141009</v>
      </c>
      <c r="B69" s="3" t="s">
        <v>95</v>
      </c>
      <c r="C69" s="3" t="s">
        <v>9</v>
      </c>
      <c r="D69" s="3" t="s">
        <v>78</v>
      </c>
      <c r="E69">
        <v>0.15049999999999999</v>
      </c>
    </row>
    <row r="70" spans="1:5" x14ac:dyDescent="0.3">
      <c r="A70" s="3">
        <v>20141009</v>
      </c>
      <c r="B70" s="3" t="s">
        <v>95</v>
      </c>
      <c r="C70" s="3" t="s">
        <v>9</v>
      </c>
      <c r="D70" s="3" t="s">
        <v>79</v>
      </c>
      <c r="E70">
        <v>0.14599999999999999</v>
      </c>
    </row>
    <row r="71" spans="1:5" x14ac:dyDescent="0.3">
      <c r="A71" s="3">
        <v>20141009</v>
      </c>
      <c r="B71" s="3" t="s">
        <v>95</v>
      </c>
      <c r="C71" s="3" t="s">
        <v>9</v>
      </c>
      <c r="D71" s="3" t="s">
        <v>80</v>
      </c>
      <c r="E71">
        <v>0.14299999999999999</v>
      </c>
    </row>
    <row r="72" spans="1:5" x14ac:dyDescent="0.3">
      <c r="A72" s="3">
        <v>20141009</v>
      </c>
      <c r="B72" s="3" t="s">
        <v>95</v>
      </c>
      <c r="C72" s="3" t="s">
        <v>9</v>
      </c>
      <c r="D72" s="3" t="s">
        <v>81</v>
      </c>
      <c r="E72">
        <v>0.13400000000000001</v>
      </c>
    </row>
    <row r="73" spans="1:5" x14ac:dyDescent="0.3">
      <c r="A73" s="3">
        <v>20141009</v>
      </c>
      <c r="B73" s="3" t="s">
        <v>95</v>
      </c>
      <c r="C73" s="3" t="s">
        <v>9</v>
      </c>
      <c r="D73" s="3" t="s">
        <v>82</v>
      </c>
      <c r="E73">
        <v>0.129</v>
      </c>
    </row>
    <row r="74" spans="1:5" x14ac:dyDescent="0.3">
      <c r="A74" s="3">
        <v>20141009</v>
      </c>
      <c r="B74" s="3" t="s">
        <v>95</v>
      </c>
      <c r="C74" t="s">
        <v>10</v>
      </c>
      <c r="D74" s="3" t="s">
        <v>74</v>
      </c>
      <c r="E74">
        <v>0.161</v>
      </c>
    </row>
    <row r="75" spans="1:5" x14ac:dyDescent="0.3">
      <c r="A75" s="3">
        <v>20141009</v>
      </c>
      <c r="B75" s="3" t="s">
        <v>95</v>
      </c>
      <c r="C75" s="3" t="s">
        <v>10</v>
      </c>
      <c r="D75" s="3" t="s">
        <v>75</v>
      </c>
      <c r="E75">
        <v>0.1575</v>
      </c>
    </row>
    <row r="76" spans="1:5" x14ac:dyDescent="0.3">
      <c r="A76" s="3">
        <v>20141009</v>
      </c>
      <c r="B76" s="3" t="s">
        <v>95</v>
      </c>
      <c r="C76" s="3" t="s">
        <v>10</v>
      </c>
      <c r="D76" s="3" t="s">
        <v>76</v>
      </c>
      <c r="E76">
        <v>0.1535</v>
      </c>
    </row>
    <row r="77" spans="1:5" x14ac:dyDescent="0.3">
      <c r="A77" s="3">
        <v>20141009</v>
      </c>
      <c r="B77" s="3" t="s">
        <v>95</v>
      </c>
      <c r="C77" s="3" t="s">
        <v>10</v>
      </c>
      <c r="D77" s="3" t="s">
        <v>77</v>
      </c>
      <c r="E77">
        <v>0.15</v>
      </c>
    </row>
    <row r="78" spans="1:5" x14ac:dyDescent="0.3">
      <c r="A78" s="3">
        <v>20141009</v>
      </c>
      <c r="B78" s="3" t="s">
        <v>95</v>
      </c>
      <c r="C78" s="3" t="s">
        <v>10</v>
      </c>
      <c r="D78" s="3" t="s">
        <v>78</v>
      </c>
      <c r="E78">
        <v>0.14699999999999999</v>
      </c>
    </row>
    <row r="79" spans="1:5" x14ac:dyDescent="0.3">
      <c r="A79" s="3">
        <v>20141009</v>
      </c>
      <c r="B79" s="3" t="s">
        <v>95</v>
      </c>
      <c r="C79" s="3" t="s">
        <v>10</v>
      </c>
      <c r="D79" s="3" t="s">
        <v>79</v>
      </c>
      <c r="E79">
        <v>0.14399999999999999</v>
      </c>
    </row>
    <row r="80" spans="1:5" x14ac:dyDescent="0.3">
      <c r="A80" s="3">
        <v>20141009</v>
      </c>
      <c r="B80" s="3" t="s">
        <v>95</v>
      </c>
      <c r="C80" s="3" t="s">
        <v>10</v>
      </c>
      <c r="D80" s="3" t="s">
        <v>80</v>
      </c>
      <c r="E80">
        <v>0.14199999999999999</v>
      </c>
    </row>
    <row r="81" spans="1:5" x14ac:dyDescent="0.3">
      <c r="A81" s="3">
        <v>20141009</v>
      </c>
      <c r="B81" s="3" t="s">
        <v>95</v>
      </c>
      <c r="C81" s="3" t="s">
        <v>10</v>
      </c>
      <c r="D81" s="3" t="s">
        <v>81</v>
      </c>
      <c r="E81">
        <v>0.13300000000000001</v>
      </c>
    </row>
    <row r="82" spans="1:5" x14ac:dyDescent="0.3">
      <c r="A82" s="3">
        <v>20141009</v>
      </c>
      <c r="B82" s="3" t="s">
        <v>95</v>
      </c>
      <c r="C82" s="3" t="s">
        <v>10</v>
      </c>
      <c r="D82" s="3" t="s">
        <v>82</v>
      </c>
      <c r="E82">
        <v>0.126</v>
      </c>
    </row>
    <row r="83" spans="1:5" x14ac:dyDescent="0.3">
      <c r="A83" s="3">
        <v>20141009</v>
      </c>
      <c r="B83" s="3" t="s">
        <v>95</v>
      </c>
      <c r="C83" t="s">
        <v>11</v>
      </c>
      <c r="D83" s="3" t="s">
        <v>74</v>
      </c>
      <c r="E83">
        <v>0.16350000000000001</v>
      </c>
    </row>
    <row r="84" spans="1:5" x14ac:dyDescent="0.3">
      <c r="A84" s="3">
        <v>20141009</v>
      </c>
      <c r="B84" s="3" t="s">
        <v>95</v>
      </c>
      <c r="C84" s="3" t="s">
        <v>11</v>
      </c>
      <c r="D84" s="3" t="s">
        <v>75</v>
      </c>
      <c r="E84">
        <v>0.1565</v>
      </c>
    </row>
    <row r="85" spans="1:5" x14ac:dyDescent="0.3">
      <c r="A85" s="3">
        <v>20141009</v>
      </c>
      <c r="B85" s="3" t="s">
        <v>95</v>
      </c>
      <c r="C85" s="3" t="s">
        <v>11</v>
      </c>
      <c r="D85" s="3" t="s">
        <v>76</v>
      </c>
      <c r="E85">
        <v>0.153</v>
      </c>
    </row>
    <row r="86" spans="1:5" x14ac:dyDescent="0.3">
      <c r="A86" s="3">
        <v>20141009</v>
      </c>
      <c r="B86" s="3" t="s">
        <v>95</v>
      </c>
      <c r="C86" s="3" t="s">
        <v>11</v>
      </c>
      <c r="D86" s="3" t="s">
        <v>77</v>
      </c>
      <c r="E86">
        <v>0.14949999999999999</v>
      </c>
    </row>
    <row r="87" spans="1:5" x14ac:dyDescent="0.3">
      <c r="A87" s="3">
        <v>20141009</v>
      </c>
      <c r="B87" s="3" t="s">
        <v>95</v>
      </c>
      <c r="C87" s="3" t="s">
        <v>11</v>
      </c>
      <c r="D87" s="3" t="s">
        <v>78</v>
      </c>
      <c r="E87">
        <v>0.14599999999999999</v>
      </c>
    </row>
    <row r="88" spans="1:5" x14ac:dyDescent="0.3">
      <c r="A88" s="3">
        <v>20141009</v>
      </c>
      <c r="B88" s="3" t="s">
        <v>95</v>
      </c>
      <c r="C88" s="3" t="s">
        <v>11</v>
      </c>
      <c r="D88" s="3" t="s">
        <v>79</v>
      </c>
      <c r="E88">
        <v>0.14399999999999999</v>
      </c>
    </row>
    <row r="89" spans="1:5" x14ac:dyDescent="0.3">
      <c r="A89" s="3">
        <v>20141009</v>
      </c>
      <c r="B89" s="3" t="s">
        <v>95</v>
      </c>
      <c r="C89" s="3" t="s">
        <v>11</v>
      </c>
      <c r="D89" s="3" t="s">
        <v>80</v>
      </c>
      <c r="E89">
        <v>0.14299999999999999</v>
      </c>
    </row>
    <row r="90" spans="1:5" x14ac:dyDescent="0.3">
      <c r="A90" s="3">
        <v>20141009</v>
      </c>
      <c r="B90" s="3" t="s">
        <v>95</v>
      </c>
      <c r="C90" s="3" t="s">
        <v>11</v>
      </c>
      <c r="D90" s="3" t="s">
        <v>81</v>
      </c>
      <c r="E90">
        <v>0.13300000000000001</v>
      </c>
    </row>
    <row r="91" spans="1:5" x14ac:dyDescent="0.3">
      <c r="A91" s="3">
        <v>20141009</v>
      </c>
      <c r="B91" s="3" t="s">
        <v>95</v>
      </c>
      <c r="C91" s="3" t="s">
        <v>11</v>
      </c>
      <c r="D91" s="3" t="s">
        <v>82</v>
      </c>
      <c r="E91">
        <v>0.127</v>
      </c>
    </row>
    <row r="92" spans="1:5" x14ac:dyDescent="0.3">
      <c r="A92" s="3">
        <v>20141009</v>
      </c>
      <c r="B92" s="3" t="s">
        <v>95</v>
      </c>
      <c r="C92" t="s">
        <v>12</v>
      </c>
      <c r="D92" s="3" t="s">
        <v>74</v>
      </c>
      <c r="E92">
        <v>0.151</v>
      </c>
    </row>
    <row r="93" spans="1:5" x14ac:dyDescent="0.3">
      <c r="A93" s="3">
        <v>20141009</v>
      </c>
      <c r="B93" s="3" t="s">
        <v>95</v>
      </c>
      <c r="C93" s="3" t="s">
        <v>12</v>
      </c>
      <c r="D93" s="3" t="s">
        <v>75</v>
      </c>
      <c r="E93">
        <v>0.14949999999999999</v>
      </c>
    </row>
    <row r="94" spans="1:5" x14ac:dyDescent="0.3">
      <c r="A94" s="3">
        <v>20141009</v>
      </c>
      <c r="B94" s="3" t="s">
        <v>95</v>
      </c>
      <c r="C94" s="3" t="s">
        <v>12</v>
      </c>
      <c r="D94" s="3" t="s">
        <v>76</v>
      </c>
      <c r="E94">
        <v>0.14799999999999999</v>
      </c>
    </row>
    <row r="95" spans="1:5" x14ac:dyDescent="0.3">
      <c r="A95" s="3">
        <v>20141009</v>
      </c>
      <c r="B95" s="3" t="s">
        <v>95</v>
      </c>
      <c r="C95" s="3" t="s">
        <v>12</v>
      </c>
      <c r="D95" s="3" t="s">
        <v>77</v>
      </c>
      <c r="E95">
        <v>0.14549999999999999</v>
      </c>
    </row>
    <row r="96" spans="1:5" x14ac:dyDescent="0.3">
      <c r="A96" s="3">
        <v>20141009</v>
      </c>
      <c r="B96" s="3" t="s">
        <v>95</v>
      </c>
      <c r="C96" s="3" t="s">
        <v>12</v>
      </c>
      <c r="D96" s="3" t="s">
        <v>78</v>
      </c>
      <c r="E96">
        <v>0.14199999999999999</v>
      </c>
    </row>
    <row r="97" spans="1:5" x14ac:dyDescent="0.3">
      <c r="A97" s="3">
        <v>20141009</v>
      </c>
      <c r="B97" s="3" t="s">
        <v>95</v>
      </c>
      <c r="C97" s="3" t="s">
        <v>12</v>
      </c>
      <c r="D97" s="3" t="s">
        <v>79</v>
      </c>
      <c r="E97">
        <v>0.14099999999999999</v>
      </c>
    </row>
    <row r="98" spans="1:5" x14ac:dyDescent="0.3">
      <c r="A98" s="3">
        <v>20141009</v>
      </c>
      <c r="B98" s="3" t="s">
        <v>95</v>
      </c>
      <c r="C98" s="3" t="s">
        <v>12</v>
      </c>
      <c r="D98" s="3" t="s">
        <v>80</v>
      </c>
      <c r="E98">
        <v>0.13800000000000001</v>
      </c>
    </row>
    <row r="99" spans="1:5" x14ac:dyDescent="0.3">
      <c r="A99" s="3">
        <v>20141009</v>
      </c>
      <c r="B99" s="3" t="s">
        <v>95</v>
      </c>
      <c r="C99" s="3" t="s">
        <v>12</v>
      </c>
      <c r="D99" s="3" t="s">
        <v>81</v>
      </c>
      <c r="E99">
        <v>0.128</v>
      </c>
    </row>
    <row r="100" spans="1:5" x14ac:dyDescent="0.3">
      <c r="A100" s="3">
        <v>20141009</v>
      </c>
      <c r="B100" s="3" t="s">
        <v>95</v>
      </c>
      <c r="C100" s="3" t="s">
        <v>12</v>
      </c>
      <c r="D100" s="3" t="s">
        <v>82</v>
      </c>
      <c r="E100">
        <v>0.124</v>
      </c>
    </row>
    <row r="101" spans="1:5" x14ac:dyDescent="0.3">
      <c r="A101" s="3">
        <v>20141009</v>
      </c>
      <c r="B101" s="3" t="s">
        <v>95</v>
      </c>
      <c r="C101" t="s">
        <v>13</v>
      </c>
      <c r="D101" s="3" t="s">
        <v>74</v>
      </c>
      <c r="E101">
        <v>0.152</v>
      </c>
    </row>
    <row r="102" spans="1:5" x14ac:dyDescent="0.3">
      <c r="A102" s="3">
        <v>20141009</v>
      </c>
      <c r="B102" s="3" t="s">
        <v>95</v>
      </c>
      <c r="C102" s="3" t="s">
        <v>13</v>
      </c>
      <c r="D102" s="3" t="s">
        <v>75</v>
      </c>
      <c r="E102">
        <v>0.15049999999999999</v>
      </c>
    </row>
    <row r="103" spans="1:5" x14ac:dyDescent="0.3">
      <c r="A103" s="3">
        <v>20141009</v>
      </c>
      <c r="B103" s="3" t="s">
        <v>95</v>
      </c>
      <c r="C103" s="3" t="s">
        <v>13</v>
      </c>
      <c r="D103" s="3" t="s">
        <v>76</v>
      </c>
      <c r="E103">
        <v>0.14799999999999999</v>
      </c>
    </row>
    <row r="104" spans="1:5" x14ac:dyDescent="0.3">
      <c r="A104" s="3">
        <v>20141009</v>
      </c>
      <c r="B104" s="3" t="s">
        <v>95</v>
      </c>
      <c r="C104" s="3" t="s">
        <v>13</v>
      </c>
      <c r="D104" s="3" t="s">
        <v>77</v>
      </c>
      <c r="E104">
        <v>0.14549999999999999</v>
      </c>
    </row>
    <row r="105" spans="1:5" x14ac:dyDescent="0.3">
      <c r="A105" s="3">
        <v>20141009</v>
      </c>
      <c r="B105" s="3" t="s">
        <v>95</v>
      </c>
      <c r="C105" s="3" t="s">
        <v>13</v>
      </c>
      <c r="D105" s="3" t="s">
        <v>78</v>
      </c>
      <c r="E105">
        <v>0.14299999999999999</v>
      </c>
    </row>
    <row r="106" spans="1:5" x14ac:dyDescent="0.3">
      <c r="A106" s="3">
        <v>20141009</v>
      </c>
      <c r="B106" s="3" t="s">
        <v>95</v>
      </c>
      <c r="C106" s="3" t="s">
        <v>13</v>
      </c>
      <c r="D106" s="3" t="s">
        <v>79</v>
      </c>
      <c r="E106">
        <v>0.14000000000000001</v>
      </c>
    </row>
    <row r="107" spans="1:5" x14ac:dyDescent="0.3">
      <c r="A107" s="3">
        <v>20141009</v>
      </c>
      <c r="B107" s="3" t="s">
        <v>95</v>
      </c>
      <c r="C107" s="3" t="s">
        <v>13</v>
      </c>
      <c r="D107" s="3" t="s">
        <v>80</v>
      </c>
      <c r="E107">
        <v>0.13200000000000001</v>
      </c>
    </row>
    <row r="108" spans="1:5" x14ac:dyDescent="0.3">
      <c r="A108" s="3">
        <v>20141009</v>
      </c>
      <c r="B108" s="3" t="s">
        <v>95</v>
      </c>
      <c r="C108" s="3" t="s">
        <v>13</v>
      </c>
      <c r="D108" s="3" t="s">
        <v>81</v>
      </c>
      <c r="E108">
        <v>0.125</v>
      </c>
    </row>
    <row r="109" spans="1:5" x14ac:dyDescent="0.3">
      <c r="A109" s="3">
        <v>20141009</v>
      </c>
      <c r="B109" s="3" t="s">
        <v>95</v>
      </c>
      <c r="C109" s="3" t="s">
        <v>13</v>
      </c>
      <c r="D109" s="3" t="s">
        <v>82</v>
      </c>
      <c r="E109">
        <v>0.122</v>
      </c>
    </row>
    <row r="110" spans="1:5" x14ac:dyDescent="0.3">
      <c r="A110" s="3">
        <v>20141009</v>
      </c>
      <c r="B110" s="3" t="s">
        <v>95</v>
      </c>
      <c r="C110" t="s">
        <v>14</v>
      </c>
      <c r="D110" s="3" t="s">
        <v>74</v>
      </c>
      <c r="E110">
        <v>0.1525</v>
      </c>
    </row>
    <row r="111" spans="1:5" x14ac:dyDescent="0.3">
      <c r="A111" s="3">
        <v>20141009</v>
      </c>
      <c r="B111" s="3" t="s">
        <v>95</v>
      </c>
      <c r="C111" s="3" t="s">
        <v>14</v>
      </c>
      <c r="D111" s="3" t="s">
        <v>75</v>
      </c>
      <c r="E111">
        <v>0.1515</v>
      </c>
    </row>
    <row r="112" spans="1:5" x14ac:dyDescent="0.3">
      <c r="A112" s="3">
        <v>20141009</v>
      </c>
      <c r="B112" s="3" t="s">
        <v>95</v>
      </c>
      <c r="C112" s="3" t="s">
        <v>14</v>
      </c>
      <c r="D112" s="3" t="s">
        <v>76</v>
      </c>
      <c r="E112">
        <v>0.14799999999999999</v>
      </c>
    </row>
    <row r="113" spans="1:5" x14ac:dyDescent="0.3">
      <c r="A113" s="3">
        <v>20141009</v>
      </c>
      <c r="B113" s="3" t="s">
        <v>95</v>
      </c>
      <c r="C113" s="3" t="s">
        <v>14</v>
      </c>
      <c r="D113" s="3" t="s">
        <v>77</v>
      </c>
      <c r="E113">
        <v>0.14149999999999999</v>
      </c>
    </row>
    <row r="114" spans="1:5" x14ac:dyDescent="0.3">
      <c r="A114" s="3">
        <v>20141009</v>
      </c>
      <c r="B114" s="3" t="s">
        <v>95</v>
      </c>
      <c r="C114" s="3" t="s">
        <v>14</v>
      </c>
      <c r="D114" s="3" t="s">
        <v>78</v>
      </c>
      <c r="E114">
        <v>0.13700000000000001</v>
      </c>
    </row>
    <row r="115" spans="1:5" x14ac:dyDescent="0.3">
      <c r="A115" s="3">
        <v>20141009</v>
      </c>
      <c r="B115" s="3" t="s">
        <v>95</v>
      </c>
      <c r="C115" s="3" t="s">
        <v>14</v>
      </c>
      <c r="D115" s="3" t="s">
        <v>79</v>
      </c>
      <c r="E115">
        <v>0.13100000000000001</v>
      </c>
    </row>
    <row r="116" spans="1:5" x14ac:dyDescent="0.3">
      <c r="A116" s="3">
        <v>20141009</v>
      </c>
      <c r="B116" s="3" t="s">
        <v>95</v>
      </c>
      <c r="C116" s="3" t="s">
        <v>14</v>
      </c>
      <c r="D116" s="3" t="s">
        <v>80</v>
      </c>
      <c r="E116">
        <v>0.128</v>
      </c>
    </row>
    <row r="117" spans="1:5" x14ac:dyDescent="0.3">
      <c r="A117" s="3">
        <v>20141009</v>
      </c>
      <c r="B117" s="3" t="s">
        <v>95</v>
      </c>
      <c r="C117" s="3" t="s">
        <v>14</v>
      </c>
      <c r="D117" s="3" t="s">
        <v>81</v>
      </c>
      <c r="E117">
        <v>0.121</v>
      </c>
    </row>
    <row r="118" spans="1:5" x14ac:dyDescent="0.3">
      <c r="A118" s="3">
        <v>20141009</v>
      </c>
      <c r="B118" s="3" t="s">
        <v>95</v>
      </c>
      <c r="C118" s="3" t="s">
        <v>14</v>
      </c>
      <c r="D118" s="3" t="s">
        <v>82</v>
      </c>
      <c r="E118">
        <v>0.12</v>
      </c>
    </row>
    <row r="119" spans="1:5" x14ac:dyDescent="0.3">
      <c r="A119" s="3">
        <v>20141009</v>
      </c>
      <c r="B119" s="3" t="s">
        <v>95</v>
      </c>
      <c r="C119" t="s">
        <v>15</v>
      </c>
      <c r="D119" s="3" t="s">
        <v>74</v>
      </c>
      <c r="E119">
        <v>0.14000000000000001</v>
      </c>
    </row>
    <row r="120" spans="1:5" x14ac:dyDescent="0.3">
      <c r="A120" s="3">
        <v>20141009</v>
      </c>
      <c r="B120" s="3" t="s">
        <v>95</v>
      </c>
      <c r="C120" s="3" t="s">
        <v>15</v>
      </c>
      <c r="D120" s="3" t="s">
        <v>75</v>
      </c>
      <c r="E120">
        <v>0.13400000000000001</v>
      </c>
    </row>
    <row r="121" spans="1:5" x14ac:dyDescent="0.3">
      <c r="A121" s="3">
        <v>20141009</v>
      </c>
      <c r="B121" s="3" t="s">
        <v>95</v>
      </c>
      <c r="C121" s="3" t="s">
        <v>15</v>
      </c>
      <c r="D121" s="3" t="s">
        <v>76</v>
      </c>
      <c r="E121">
        <v>0.128</v>
      </c>
    </row>
    <row r="122" spans="1:5" x14ac:dyDescent="0.3">
      <c r="A122" s="3">
        <v>20141009</v>
      </c>
      <c r="B122" s="3" t="s">
        <v>95</v>
      </c>
      <c r="C122" s="3" t="s">
        <v>15</v>
      </c>
      <c r="D122" s="3" t="s">
        <v>77</v>
      </c>
      <c r="E122">
        <v>0.124</v>
      </c>
    </row>
    <row r="123" spans="1:5" x14ac:dyDescent="0.3">
      <c r="A123" s="3">
        <v>20141009</v>
      </c>
      <c r="B123" s="3" t="s">
        <v>95</v>
      </c>
      <c r="C123" s="3" t="s">
        <v>15</v>
      </c>
      <c r="D123" s="3" t="s">
        <v>78</v>
      </c>
      <c r="E123">
        <v>0.122</v>
      </c>
    </row>
    <row r="124" spans="1:5" x14ac:dyDescent="0.3">
      <c r="A124" s="3">
        <v>20141009</v>
      </c>
      <c r="B124" s="3" t="s">
        <v>95</v>
      </c>
      <c r="C124" s="3" t="s">
        <v>15</v>
      </c>
      <c r="D124" s="3" t="s">
        <v>79</v>
      </c>
      <c r="E124">
        <v>0.12</v>
      </c>
    </row>
    <row r="125" spans="1:5" x14ac:dyDescent="0.3">
      <c r="A125" s="3">
        <v>20141009</v>
      </c>
      <c r="B125" s="3" t="s">
        <v>95</v>
      </c>
      <c r="C125" s="3" t="s">
        <v>15</v>
      </c>
      <c r="D125" s="3" t="s">
        <v>80</v>
      </c>
      <c r="E125">
        <v>0.122</v>
      </c>
    </row>
    <row r="126" spans="1:5" x14ac:dyDescent="0.3">
      <c r="A126" s="3">
        <v>20141009</v>
      </c>
      <c r="B126" s="3" t="s">
        <v>95</v>
      </c>
      <c r="C126" s="3" t="s">
        <v>15</v>
      </c>
      <c r="D126" s="3" t="s">
        <v>81</v>
      </c>
      <c r="E126">
        <v>0.11700000000000001</v>
      </c>
    </row>
    <row r="127" spans="1:5" x14ac:dyDescent="0.3">
      <c r="A127" s="3">
        <v>20141009</v>
      </c>
      <c r="B127" s="3" t="s">
        <v>95</v>
      </c>
      <c r="C127" s="3" t="s">
        <v>15</v>
      </c>
      <c r="D127" s="3" t="s">
        <v>82</v>
      </c>
      <c r="E127">
        <v>0.11799999999999999</v>
      </c>
    </row>
    <row r="128" spans="1:5" x14ac:dyDescent="0.3">
      <c r="A128" s="3">
        <v>20141009</v>
      </c>
      <c r="B128" s="3" t="s">
        <v>95</v>
      </c>
      <c r="C128" t="s">
        <v>16</v>
      </c>
      <c r="D128" s="3" t="s">
        <v>74</v>
      </c>
      <c r="E128">
        <v>0.129</v>
      </c>
    </row>
    <row r="129" spans="1:5" x14ac:dyDescent="0.3">
      <c r="A129" s="3">
        <v>20141009</v>
      </c>
      <c r="B129" s="3" t="s">
        <v>95</v>
      </c>
      <c r="C129" s="3" t="s">
        <v>16</v>
      </c>
      <c r="D129" s="3" t="s">
        <v>75</v>
      </c>
      <c r="E129">
        <v>0.129</v>
      </c>
    </row>
    <row r="130" spans="1:5" x14ac:dyDescent="0.3">
      <c r="A130" s="3">
        <v>20141009</v>
      </c>
      <c r="B130" s="3" t="s">
        <v>95</v>
      </c>
      <c r="C130" s="3" t="s">
        <v>16</v>
      </c>
      <c r="D130" s="3" t="s">
        <v>76</v>
      </c>
      <c r="E130">
        <v>0.127</v>
      </c>
    </row>
    <row r="131" spans="1:5" x14ac:dyDescent="0.3">
      <c r="A131" s="3">
        <v>20141009</v>
      </c>
      <c r="B131" s="3" t="s">
        <v>95</v>
      </c>
      <c r="C131" s="3" t="s">
        <v>16</v>
      </c>
      <c r="D131" s="3" t="s">
        <v>77</v>
      </c>
      <c r="E131">
        <v>0.126</v>
      </c>
    </row>
    <row r="132" spans="1:5" x14ac:dyDescent="0.3">
      <c r="A132" s="3">
        <v>20141009</v>
      </c>
      <c r="B132" s="3" t="s">
        <v>95</v>
      </c>
      <c r="C132" s="3" t="s">
        <v>16</v>
      </c>
      <c r="D132" s="3" t="s">
        <v>78</v>
      </c>
      <c r="E132">
        <v>0.124</v>
      </c>
    </row>
    <row r="133" spans="1:5" x14ac:dyDescent="0.3">
      <c r="A133" s="3">
        <v>20141009</v>
      </c>
      <c r="B133" s="3" t="s">
        <v>95</v>
      </c>
      <c r="C133" s="3" t="s">
        <v>16</v>
      </c>
      <c r="D133" s="3" t="s">
        <v>79</v>
      </c>
      <c r="E133">
        <v>0.13100000000000001</v>
      </c>
    </row>
    <row r="134" spans="1:5" x14ac:dyDescent="0.3">
      <c r="A134" s="3">
        <v>20141009</v>
      </c>
      <c r="B134" s="3" t="s">
        <v>95</v>
      </c>
      <c r="C134" s="3" t="s">
        <v>16</v>
      </c>
      <c r="D134" s="3" t="s">
        <v>80</v>
      </c>
      <c r="E134">
        <v>0.13400000000000001</v>
      </c>
    </row>
    <row r="135" spans="1:5" x14ac:dyDescent="0.3">
      <c r="A135" s="3">
        <v>20141009</v>
      </c>
      <c r="B135" s="3" t="s">
        <v>95</v>
      </c>
      <c r="C135" s="3" t="s">
        <v>16</v>
      </c>
      <c r="D135" s="3" t="s">
        <v>81</v>
      </c>
      <c r="E135">
        <v>0.11700000000000001</v>
      </c>
    </row>
    <row r="136" spans="1:5" x14ac:dyDescent="0.3">
      <c r="A136" s="3">
        <v>20141009</v>
      </c>
      <c r="B136" s="3" t="s">
        <v>95</v>
      </c>
      <c r="C136" s="3" t="s">
        <v>16</v>
      </c>
      <c r="D136" s="3" t="s">
        <v>82</v>
      </c>
      <c r="E136">
        <v>0.11799999999999999</v>
      </c>
    </row>
    <row r="137" spans="1:5" x14ac:dyDescent="0.3">
      <c r="D137" s="3"/>
    </row>
    <row r="138" spans="1:5" x14ac:dyDescent="0.3">
      <c r="D138" s="3"/>
    </row>
    <row r="139" spans="1:5" x14ac:dyDescent="0.3">
      <c r="D139" s="3"/>
    </row>
    <row r="140" spans="1:5" x14ac:dyDescent="0.3">
      <c r="D140" s="3"/>
    </row>
    <row r="141" spans="1:5" x14ac:dyDescent="0.3">
      <c r="D141" s="3"/>
    </row>
    <row r="142" spans="1:5" x14ac:dyDescent="0.3">
      <c r="D142" s="3"/>
    </row>
    <row r="143" spans="1:5" x14ac:dyDescent="0.3">
      <c r="D143" s="3"/>
    </row>
    <row r="144" spans="1:5" x14ac:dyDescent="0.3">
      <c r="D144" s="3"/>
    </row>
    <row r="145" spans="4:4" x14ac:dyDescent="0.3">
      <c r="D145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D3"/>
  <sheetViews>
    <sheetView workbookViewId="0">
      <selection activeCell="C17" sqref="C17"/>
    </sheetView>
  </sheetViews>
  <sheetFormatPr defaultRowHeight="16.5" x14ac:dyDescent="0.3"/>
  <cols>
    <col min="1" max="1" width="9.5" bestFit="1" customWidth="1"/>
    <col min="3" max="3" width="12.125" bestFit="1" customWidth="1"/>
  </cols>
  <sheetData>
    <row r="2" spans="1:4" x14ac:dyDescent="0.3">
      <c r="A2" t="s">
        <v>85</v>
      </c>
      <c r="B2" t="s">
        <v>121</v>
      </c>
      <c r="C2" t="s">
        <v>122</v>
      </c>
      <c r="D2" t="s">
        <v>123</v>
      </c>
    </row>
    <row r="3" spans="1:4" x14ac:dyDescent="0.3">
      <c r="A3">
        <v>20141009</v>
      </c>
      <c r="B3" t="s">
        <v>117</v>
      </c>
      <c r="C3" t="s">
        <v>119</v>
      </c>
      <c r="D3">
        <v>0.9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4"/>
  <sheetViews>
    <sheetView workbookViewId="0">
      <selection activeCell="L14" sqref="L14"/>
    </sheetView>
  </sheetViews>
  <sheetFormatPr defaultRowHeight="16.5" x14ac:dyDescent="0.3"/>
  <cols>
    <col min="2" max="2" width="13.75" bestFit="1" customWidth="1"/>
  </cols>
  <sheetData>
    <row r="2" spans="2:5" x14ac:dyDescent="0.3">
      <c r="B2" t="s">
        <v>67</v>
      </c>
      <c r="C2" t="s">
        <v>109</v>
      </c>
      <c r="D2" s="3">
        <v>1</v>
      </c>
      <c r="E2">
        <v>3</v>
      </c>
    </row>
    <row r="3" spans="2:5" x14ac:dyDescent="0.3">
      <c r="C3" s="3" t="s">
        <v>108</v>
      </c>
      <c r="D3" s="3"/>
    </row>
    <row r="4" spans="2:5" x14ac:dyDescent="0.3">
      <c r="C4" t="s">
        <v>32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</vt:i4>
      </vt:variant>
    </vt:vector>
  </HeadingPairs>
  <TitlesOfParts>
    <vt:vector size="7" baseType="lpstr">
      <vt:lpstr>Main</vt:lpstr>
      <vt:lpstr>IRDATA</vt:lpstr>
      <vt:lpstr>VOLDATA</vt:lpstr>
      <vt:lpstr>CORRDATA</vt:lpstr>
      <vt:lpstr>setting</vt:lpstr>
      <vt:lpstr>refType1</vt:lpstr>
      <vt:lpstr>refType2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2014-04-11T05:35:47Z</dcterms:created>
  <dcterms:modified xsi:type="dcterms:W3CDTF">2014-10-12T06:44:00Z</dcterms:modified>
</cp:coreProperties>
</file>