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120" yWindow="135" windowWidth="20700" windowHeight="10305"/>
  </bookViews>
  <sheets>
    <sheet name="Sheet1" sheetId="1" r:id="rId1"/>
    <sheet name="Sheet2" sheetId="2" r:id="rId2"/>
    <sheet name="Sheet3" sheetId="3" r:id="rId3"/>
  </sheets>
  <functionGroups builtInGroupCount="17"/>
  <definedNames>
    <definedName name="spotRateN">Sheet1!$F$5</definedName>
  </definedNames>
  <calcPr calcId="145621"/>
  <fileRecoveryPr repairLoad="1"/>
</workbook>
</file>

<file path=xl/calcChain.xml><?xml version="1.0" encoding="utf-8"?>
<calcChain xmlns="http://schemas.openxmlformats.org/spreadsheetml/2006/main">
  <c r="G3" i="1" l="1"/>
  <c r="F5" i="1" l="1"/>
</calcChain>
</file>

<file path=xl/sharedStrings.xml><?xml version="1.0" encoding="utf-8"?>
<sst xmlns="http://schemas.openxmlformats.org/spreadsheetml/2006/main" count="69" uniqueCount="51">
  <si>
    <t>변수명</t>
    <phoneticPr fontId="1" type="noConversion"/>
  </si>
  <si>
    <t>설명</t>
    <phoneticPr fontId="1" type="noConversion"/>
  </si>
  <si>
    <t>입력값</t>
    <phoneticPr fontId="1" type="noConversion"/>
  </si>
  <si>
    <t>Market Data</t>
    <phoneticPr fontId="1" type="noConversion"/>
  </si>
  <si>
    <t>오늘날짜</t>
    <phoneticPr fontId="1" type="noConversion"/>
  </si>
  <si>
    <t>spotRateN</t>
    <phoneticPr fontId="1" type="noConversion"/>
  </si>
  <si>
    <t>today</t>
    <phoneticPr fontId="1" type="noConversion"/>
  </si>
  <si>
    <t>spotRateT</t>
    <phoneticPr fontId="1" type="noConversion"/>
  </si>
  <si>
    <t>Discount Rates</t>
    <phoneticPr fontId="1" type="noConversion"/>
  </si>
  <si>
    <t>D1</t>
    <phoneticPr fontId="1" type="noConversion"/>
  </si>
  <si>
    <t>M3</t>
    <phoneticPr fontId="1" type="noConversion"/>
  </si>
  <si>
    <t>M6</t>
    <phoneticPr fontId="1" type="noConversion"/>
  </si>
  <si>
    <t>M9</t>
    <phoneticPr fontId="1" type="noConversion"/>
  </si>
  <si>
    <t>Y1</t>
    <phoneticPr fontId="1" type="noConversion"/>
  </si>
  <si>
    <t>Y2</t>
    <phoneticPr fontId="1" type="noConversion"/>
  </si>
  <si>
    <t>Y3</t>
    <phoneticPr fontId="1" type="noConversion"/>
  </si>
  <si>
    <t>Y4</t>
    <phoneticPr fontId="1" type="noConversion"/>
  </si>
  <si>
    <t>Y5</t>
    <phoneticPr fontId="1" type="noConversion"/>
  </si>
  <si>
    <t>Y7</t>
    <phoneticPr fontId="1" type="noConversion"/>
  </si>
  <si>
    <t>Y10</t>
    <phoneticPr fontId="1" type="noConversion"/>
  </si>
  <si>
    <t>Y12</t>
    <phoneticPr fontId="1" type="noConversion"/>
  </si>
  <si>
    <t>Y15</t>
    <phoneticPr fontId="1" type="noConversion"/>
  </si>
  <si>
    <t>Y20</t>
    <phoneticPr fontId="1" type="noConversion"/>
  </si>
  <si>
    <t>결과값</t>
    <phoneticPr fontId="1" type="noConversion"/>
  </si>
  <si>
    <t>spotRates</t>
    <phoneticPr fontId="1" type="noConversion"/>
  </si>
  <si>
    <t>InterestType</t>
    <phoneticPr fontId="1" type="noConversion"/>
  </si>
  <si>
    <t>Deposit</t>
    <phoneticPr fontId="1" type="noConversion"/>
  </si>
  <si>
    <t>Swap</t>
    <phoneticPr fontId="1" type="noConversion"/>
  </si>
  <si>
    <t>Interest Rate Curve</t>
    <phoneticPr fontId="1" type="noConversion"/>
  </si>
  <si>
    <t>volN</t>
    <phoneticPr fontId="1" type="noConversion"/>
  </si>
  <si>
    <t>volT</t>
    <phoneticPr fontId="1" type="noConversion"/>
  </si>
  <si>
    <t>vol</t>
    <phoneticPr fontId="1" type="noConversion"/>
  </si>
  <si>
    <t>M1</t>
    <phoneticPr fontId="1" type="noConversion"/>
  </si>
  <si>
    <t>M3</t>
    <phoneticPr fontId="1" type="noConversion"/>
  </si>
  <si>
    <t>M6</t>
    <phoneticPr fontId="1" type="noConversion"/>
  </si>
  <si>
    <t>M9</t>
    <phoneticPr fontId="1" type="noConversion"/>
  </si>
  <si>
    <t>Y1</t>
    <phoneticPr fontId="1" type="noConversion"/>
  </si>
  <si>
    <t>Y2</t>
    <phoneticPr fontId="1" type="noConversion"/>
  </si>
  <si>
    <t>Y3</t>
    <phoneticPr fontId="1" type="noConversion"/>
  </si>
  <si>
    <t>Y1H</t>
    <phoneticPr fontId="1" type="noConversion"/>
  </si>
  <si>
    <t>Y3</t>
    <phoneticPr fontId="1" type="noConversion"/>
  </si>
  <si>
    <t>Y4</t>
    <phoneticPr fontId="1" type="noConversion"/>
  </si>
  <si>
    <t>Y5</t>
    <phoneticPr fontId="1" type="noConversion"/>
  </si>
  <si>
    <t>Y7</t>
    <phoneticPr fontId="1" type="noConversion"/>
  </si>
  <si>
    <t>Y10</t>
    <phoneticPr fontId="1" type="noConversion"/>
  </si>
  <si>
    <t>Y12</t>
    <phoneticPr fontId="1" type="noConversion"/>
  </si>
  <si>
    <t>Y15</t>
    <phoneticPr fontId="1" type="noConversion"/>
  </si>
  <si>
    <t>Y20</t>
    <phoneticPr fontId="1" type="noConversion"/>
  </si>
  <si>
    <t>Y2</t>
    <phoneticPr fontId="1" type="noConversion"/>
  </si>
  <si>
    <t>Y4</t>
    <phoneticPr fontId="1" type="noConversion"/>
  </si>
  <si>
    <t>matuN, tenorN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</si>
</sst>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0_);[Red]\(0\)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9"/>
      <color theme="1"/>
      <name val="Arial"/>
      <family val="2"/>
      <charset val="129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color rgb="FF3F3F76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81">
    <xf numFmtId="0" fontId="0" fillId="0" borderId="0">
      <alignment vertical="center"/>
    </xf>
    <xf numFmtId="0" fontId="2" fillId="2" borderId="1">
      <alignment horizontal="center" vertical="center"/>
    </xf>
    <xf numFmtId="9" fontId="3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/>
    <xf numFmtId="0" fontId="5" fillId="0" borderId="0">
      <alignment vertical="center"/>
    </xf>
    <xf numFmtId="0" fontId="4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/>
    <xf numFmtId="0" fontId="4" fillId="0" borderId="0"/>
    <xf numFmtId="0" fontId="7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9" fillId="3" borderId="2" applyNumberFormat="0" applyAlignment="0" applyProtection="0">
      <alignment vertical="center"/>
    </xf>
    <xf numFmtId="0" fontId="8" fillId="5" borderId="3" applyNumberFormat="0" applyFont="0" applyAlignment="0" applyProtection="0">
      <alignment vertical="center"/>
    </xf>
    <xf numFmtId="0" fontId="10" fillId="4" borderId="2" applyNumberFormat="0" applyAlignment="0" applyProtection="0">
      <alignment vertical="center"/>
    </xf>
  </cellStyleXfs>
  <cellXfs count="10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0" fontId="2" fillId="2" borderId="1" xfId="1">
      <alignment horizontal="center" vertical="center"/>
    </xf>
    <xf numFmtId="10" fontId="0" fillId="0" borderId="0" xfId="2" applyNumberFormat="1" applyFont="1">
      <alignment vertical="center"/>
    </xf>
    <xf numFmtId="0" fontId="0" fillId="0" borderId="0" xfId="0" applyAlignment="1">
      <alignment horizontal="center" vertical="center"/>
    </xf>
  </cellXfs>
  <cellStyles count="281">
    <cellStyle name="계산 3" xfId="280"/>
    <cellStyle name="고정된항목" xfId="1"/>
    <cellStyle name="메모 2" xfId="279"/>
    <cellStyle name="백분율" xfId="2" builtinId="5"/>
    <cellStyle name="쉼표 [0] 2" xfId="3"/>
    <cellStyle name="쉼표 [0] 2 4" xfId="277"/>
    <cellStyle name="입력 3" xfId="278"/>
    <cellStyle name="표준" xfId="0" builtinId="0"/>
    <cellStyle name="표준 10" xfId="4"/>
    <cellStyle name="표준 100" xfId="108"/>
    <cellStyle name="표준 101" xfId="109"/>
    <cellStyle name="표준 102" xfId="110"/>
    <cellStyle name="표준 103" xfId="111"/>
    <cellStyle name="표준 104" xfId="112"/>
    <cellStyle name="표준 105" xfId="113"/>
    <cellStyle name="표준 106" xfId="114"/>
    <cellStyle name="표준 107" xfId="115"/>
    <cellStyle name="표준 108" xfId="116"/>
    <cellStyle name="표준 109" xfId="117"/>
    <cellStyle name="표준 11" xfId="5"/>
    <cellStyle name="표준 110" xfId="118"/>
    <cellStyle name="표준 111" xfId="119"/>
    <cellStyle name="표준 112" xfId="123"/>
    <cellStyle name="표준 113" xfId="120"/>
    <cellStyle name="표준 114" xfId="121"/>
    <cellStyle name="표준 115" xfId="122"/>
    <cellStyle name="표준 116" xfId="124"/>
    <cellStyle name="표준 117" xfId="125"/>
    <cellStyle name="표준 118" xfId="126"/>
    <cellStyle name="표준 119" xfId="127"/>
    <cellStyle name="표준 12" xfId="6"/>
    <cellStyle name="표준 120" xfId="128"/>
    <cellStyle name="표준 121" xfId="129"/>
    <cellStyle name="표준 122" xfId="130"/>
    <cellStyle name="표준 123" xfId="131"/>
    <cellStyle name="표준 123 2" xfId="133"/>
    <cellStyle name="표준 123 3" xfId="135"/>
    <cellStyle name="표준 123 4" xfId="137"/>
    <cellStyle name="표준 124" xfId="132"/>
    <cellStyle name="표준 124 2" xfId="134"/>
    <cellStyle name="표준 124 3" xfId="136"/>
    <cellStyle name="표준 124 4" xfId="138"/>
    <cellStyle name="표준 125" xfId="139"/>
    <cellStyle name="표준 126" xfId="140"/>
    <cellStyle name="표준 127" xfId="141"/>
    <cellStyle name="표준 128" xfId="142"/>
    <cellStyle name="표준 129" xfId="143"/>
    <cellStyle name="표준 13" xfId="7"/>
    <cellStyle name="표준 130" xfId="144"/>
    <cellStyle name="표준 131" xfId="145"/>
    <cellStyle name="표준 132" xfId="146"/>
    <cellStyle name="표준 133" xfId="147"/>
    <cellStyle name="표준 134" xfId="148"/>
    <cellStyle name="표준 135" xfId="149"/>
    <cellStyle name="표준 136" xfId="150"/>
    <cellStyle name="표준 137" xfId="151"/>
    <cellStyle name="표준 138" xfId="152"/>
    <cellStyle name="표준 139" xfId="153"/>
    <cellStyle name="표준 14" xfId="8"/>
    <cellStyle name="표준 140" xfId="154"/>
    <cellStyle name="표준 141" xfId="155"/>
    <cellStyle name="표준 142" xfId="156"/>
    <cellStyle name="표준 143" xfId="157"/>
    <cellStyle name="표준 144" xfId="158"/>
    <cellStyle name="표준 145" xfId="159"/>
    <cellStyle name="표준 146" xfId="160"/>
    <cellStyle name="표준 147" xfId="161"/>
    <cellStyle name="표준 148" xfId="162"/>
    <cellStyle name="표준 149" xfId="163"/>
    <cellStyle name="표준 15" xfId="9"/>
    <cellStyle name="표준 150" xfId="164"/>
    <cellStyle name="표준 151" xfId="165"/>
    <cellStyle name="표준 152" xfId="166"/>
    <cellStyle name="표준 153" xfId="167"/>
    <cellStyle name="표준 154" xfId="168"/>
    <cellStyle name="표준 155" xfId="169"/>
    <cellStyle name="표준 156" xfId="170"/>
    <cellStyle name="표준 157" xfId="171"/>
    <cellStyle name="표준 158" xfId="172"/>
    <cellStyle name="표준 159" xfId="173"/>
    <cellStyle name="표준 16" xfId="10"/>
    <cellStyle name="표준 160" xfId="174"/>
    <cellStyle name="표준 161" xfId="175"/>
    <cellStyle name="표준 162" xfId="176"/>
    <cellStyle name="표준 163" xfId="177"/>
    <cellStyle name="표준 164" xfId="178"/>
    <cellStyle name="표준 165" xfId="179"/>
    <cellStyle name="표준 166" xfId="180"/>
    <cellStyle name="표준 167" xfId="181"/>
    <cellStyle name="표준 168" xfId="182"/>
    <cellStyle name="표준 169" xfId="183"/>
    <cellStyle name="표준 17" xfId="11"/>
    <cellStyle name="표준 170" xfId="184"/>
    <cellStyle name="표준 171" xfId="185"/>
    <cellStyle name="표준 172" xfId="187"/>
    <cellStyle name="표준 173" xfId="186"/>
    <cellStyle name="표준 174" xfId="189"/>
    <cellStyle name="표준 175" xfId="188"/>
    <cellStyle name="표준 176" xfId="190"/>
    <cellStyle name="표준 177" xfId="191"/>
    <cellStyle name="표준 178" xfId="193"/>
    <cellStyle name="표준 179" xfId="192"/>
    <cellStyle name="표준 18" xfId="12"/>
    <cellStyle name="표준 180" xfId="194"/>
    <cellStyle name="표준 181" xfId="195"/>
    <cellStyle name="표준 182" xfId="196"/>
    <cellStyle name="표준 183" xfId="197"/>
    <cellStyle name="표준 184" xfId="198"/>
    <cellStyle name="표준 185" xfId="199"/>
    <cellStyle name="표준 185 2" xfId="201"/>
    <cellStyle name="표준 186" xfId="200"/>
    <cellStyle name="표준 187" xfId="202"/>
    <cellStyle name="표준 187 2" xfId="204"/>
    <cellStyle name="표준 188" xfId="203"/>
    <cellStyle name="표준 188 2" xfId="205"/>
    <cellStyle name="표준 189" xfId="206"/>
    <cellStyle name="표준 19" xfId="13"/>
    <cellStyle name="표준 190" xfId="207"/>
    <cellStyle name="표준 191" xfId="208"/>
    <cellStyle name="표준 192" xfId="209"/>
    <cellStyle name="표준 193" xfId="210"/>
    <cellStyle name="표준 194" xfId="211"/>
    <cellStyle name="표준 195" xfId="212"/>
    <cellStyle name="표준 196" xfId="213"/>
    <cellStyle name="표준 197" xfId="214"/>
    <cellStyle name="표준 198" xfId="215"/>
    <cellStyle name="표준 199" xfId="216"/>
    <cellStyle name="표준 2" xfId="14"/>
    <cellStyle name="표준 2 2" xfId="276"/>
    <cellStyle name="표준 20" xfId="15"/>
    <cellStyle name="표준 200" xfId="217"/>
    <cellStyle name="표준 201" xfId="218"/>
    <cellStyle name="표준 201 2" xfId="220"/>
    <cellStyle name="표준 202" xfId="219"/>
    <cellStyle name="표준 203" xfId="221"/>
    <cellStyle name="표준 204" xfId="222"/>
    <cellStyle name="표준 205" xfId="223"/>
    <cellStyle name="표준 206" xfId="224"/>
    <cellStyle name="표준 207" xfId="225"/>
    <cellStyle name="표준 208" xfId="226"/>
    <cellStyle name="표준 209" xfId="228"/>
    <cellStyle name="표준 21" xfId="16"/>
    <cellStyle name="표준 210" xfId="227"/>
    <cellStyle name="표준 211" xfId="229"/>
    <cellStyle name="표준 212" xfId="230"/>
    <cellStyle name="표준 213" xfId="231"/>
    <cellStyle name="표준 214" xfId="232"/>
    <cellStyle name="표준 215" xfId="233"/>
    <cellStyle name="표준 216" xfId="234"/>
    <cellStyle name="표준 217" xfId="235"/>
    <cellStyle name="표준 218" xfId="236"/>
    <cellStyle name="표준 219" xfId="237"/>
    <cellStyle name="표준 22" xfId="17"/>
    <cellStyle name="표준 220" xfId="238"/>
    <cellStyle name="표준 221" xfId="239"/>
    <cellStyle name="표준 222" xfId="240"/>
    <cellStyle name="표준 223" xfId="241"/>
    <cellStyle name="표준 224" xfId="242"/>
    <cellStyle name="표준 225" xfId="243"/>
    <cellStyle name="표준 226" xfId="244"/>
    <cellStyle name="표준 227" xfId="245"/>
    <cellStyle name="표준 228" xfId="246"/>
    <cellStyle name="표준 229" xfId="247"/>
    <cellStyle name="표준 23" xfId="18"/>
    <cellStyle name="표준 230" xfId="248"/>
    <cellStyle name="표준 231" xfId="249"/>
    <cellStyle name="표준 232" xfId="250"/>
    <cellStyle name="표준 233" xfId="251"/>
    <cellStyle name="표준 234" xfId="252"/>
    <cellStyle name="표준 235" xfId="253"/>
    <cellStyle name="표준 236" xfId="254"/>
    <cellStyle name="표준 237" xfId="255"/>
    <cellStyle name="표준 238" xfId="256"/>
    <cellStyle name="표준 239" xfId="257"/>
    <cellStyle name="표준 24" xfId="19"/>
    <cellStyle name="표준 240" xfId="258"/>
    <cellStyle name="표준 241" xfId="259"/>
    <cellStyle name="표준 242" xfId="260"/>
    <cellStyle name="표준 243" xfId="261"/>
    <cellStyle name="표준 244" xfId="262"/>
    <cellStyle name="표준 245" xfId="263"/>
    <cellStyle name="표준 246" xfId="264"/>
    <cellStyle name="표준 247" xfId="265"/>
    <cellStyle name="표준 248" xfId="266"/>
    <cellStyle name="표준 249" xfId="267"/>
    <cellStyle name="표준 25" xfId="20"/>
    <cellStyle name="표준 250" xfId="268"/>
    <cellStyle name="표준 251" xfId="269"/>
    <cellStyle name="표준 252" xfId="270"/>
    <cellStyle name="표준 253" xfId="271"/>
    <cellStyle name="표준 254" xfId="272"/>
    <cellStyle name="표준 255" xfId="273"/>
    <cellStyle name="표준 26" xfId="21"/>
    <cellStyle name="표준 27" xfId="22"/>
    <cellStyle name="표준 28" xfId="23"/>
    <cellStyle name="표준 29" xfId="24"/>
    <cellStyle name="표준 3" xfId="25"/>
    <cellStyle name="표준 30" xfId="26"/>
    <cellStyle name="표준 31" xfId="27"/>
    <cellStyle name="표준 32" xfId="28"/>
    <cellStyle name="표준 33" xfId="29"/>
    <cellStyle name="표준 34" xfId="30"/>
    <cellStyle name="표준 35" xfId="31"/>
    <cellStyle name="표준 36" xfId="32"/>
    <cellStyle name="표준 37" xfId="33"/>
    <cellStyle name="표준 38" xfId="34"/>
    <cellStyle name="표준 39" xfId="35"/>
    <cellStyle name="표준 4" xfId="36"/>
    <cellStyle name="표준 40" xfId="37"/>
    <cellStyle name="표준 41" xfId="38"/>
    <cellStyle name="표준 42" xfId="39"/>
    <cellStyle name="표준 43" xfId="40"/>
    <cellStyle name="표준 44" xfId="41"/>
    <cellStyle name="표준 45" xfId="49"/>
    <cellStyle name="표준 46" xfId="50"/>
    <cellStyle name="표준 47" xfId="51"/>
    <cellStyle name="표준 48" xfId="52"/>
    <cellStyle name="표준 49" xfId="53"/>
    <cellStyle name="표준 5" xfId="42"/>
    <cellStyle name="표준 50" xfId="58"/>
    <cellStyle name="표준 51" xfId="59"/>
    <cellStyle name="표준 52" xfId="60"/>
    <cellStyle name="표준 53" xfId="63"/>
    <cellStyle name="표준 54" xfId="61"/>
    <cellStyle name="표준 55" xfId="62"/>
    <cellStyle name="표준 56" xfId="64"/>
    <cellStyle name="표준 57" xfId="65"/>
    <cellStyle name="표준 58" xfId="66"/>
    <cellStyle name="표준 59" xfId="67"/>
    <cellStyle name="표준 6" xfId="43"/>
    <cellStyle name="표준 6 2" xfId="44"/>
    <cellStyle name="표준 6 3" xfId="54"/>
    <cellStyle name="표준 6 4" xfId="57"/>
    <cellStyle name="표준 6 5" xfId="275"/>
    <cellStyle name="표준 60" xfId="68"/>
    <cellStyle name="표준 61" xfId="69"/>
    <cellStyle name="표준 62" xfId="70"/>
    <cellStyle name="표준 63" xfId="71"/>
    <cellStyle name="표준 64" xfId="72"/>
    <cellStyle name="표준 65" xfId="73"/>
    <cellStyle name="표준 66" xfId="74"/>
    <cellStyle name="표준 67" xfId="75"/>
    <cellStyle name="표준 68" xfId="76"/>
    <cellStyle name="표준 69" xfId="77"/>
    <cellStyle name="표준 7" xfId="45"/>
    <cellStyle name="표준 7 2" xfId="46"/>
    <cellStyle name="표준 7 3" xfId="55"/>
    <cellStyle name="표준 7 4" xfId="56"/>
    <cellStyle name="표준 7 5" xfId="274"/>
    <cellStyle name="표준 70" xfId="78"/>
    <cellStyle name="표준 71" xfId="79"/>
    <cellStyle name="표준 72" xfId="80"/>
    <cellStyle name="표준 73" xfId="81"/>
    <cellStyle name="표준 74" xfId="82"/>
    <cellStyle name="표준 75" xfId="83"/>
    <cellStyle name="표준 76" xfId="84"/>
    <cellStyle name="표준 77" xfId="85"/>
    <cellStyle name="표준 78" xfId="86"/>
    <cellStyle name="표준 79" xfId="87"/>
    <cellStyle name="표준 8" xfId="47"/>
    <cellStyle name="표준 80" xfId="88"/>
    <cellStyle name="표준 81" xfId="89"/>
    <cellStyle name="표준 82" xfId="90"/>
    <cellStyle name="표준 83" xfId="91"/>
    <cellStyle name="표준 84" xfId="92"/>
    <cellStyle name="표준 85" xfId="93"/>
    <cellStyle name="표준 86" xfId="94"/>
    <cellStyle name="표준 87" xfId="95"/>
    <cellStyle name="표준 88" xfId="96"/>
    <cellStyle name="표준 89" xfId="97"/>
    <cellStyle name="표준 9" xfId="48"/>
    <cellStyle name="표준 90" xfId="98"/>
    <cellStyle name="표준 91" xfId="99"/>
    <cellStyle name="표준 92" xfId="100"/>
    <cellStyle name="표준 93" xfId="101"/>
    <cellStyle name="표준 94" xfId="102"/>
    <cellStyle name="표준 95" xfId="103"/>
    <cellStyle name="표준 96" xfId="104"/>
    <cellStyle name="표준 97" xfId="105"/>
    <cellStyle name="표준 98" xfId="106"/>
    <cellStyle name="표준 99" xfId="10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0</xdr:row>
          <xdr:rowOff>85725</xdr:rowOff>
        </xdr:from>
        <xdr:to>
          <xdr:col>12</xdr:col>
          <xdr:colOff>647700</xdr:colOff>
          <xdr:row>2</xdr:row>
          <xdr:rowOff>152400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S27"/>
  <sheetViews>
    <sheetView tabSelected="1" workbookViewId="0">
      <pane xSplit="5" ySplit="3" topLeftCell="F4" activePane="bottomRight" state="frozen"/>
      <selection pane="topRight" activeCell="D1" sqref="D1"/>
      <selection pane="bottomLeft" activeCell="A4" sqref="A4"/>
      <selection pane="bottomRight" activeCell="F3" sqref="F3"/>
    </sheetView>
  </sheetViews>
  <sheetFormatPr defaultRowHeight="16.5" x14ac:dyDescent="0.3"/>
  <cols>
    <col min="1" max="1" width="2.5" customWidth="1"/>
    <col min="2" max="2" width="18.375" customWidth="1"/>
    <col min="3" max="3" width="14.125" customWidth="1"/>
    <col min="5" max="5" width="14.625" bestFit="1" customWidth="1"/>
    <col min="6" max="19" width="11.125" customWidth="1"/>
  </cols>
  <sheetData>
    <row r="1" spans="2:19" x14ac:dyDescent="0.3">
      <c r="C1" s="2" t="s">
        <v>0</v>
      </c>
      <c r="D1" s="2" t="s">
        <v>1</v>
      </c>
      <c r="E1" s="2"/>
      <c r="F1" s="2" t="s">
        <v>2</v>
      </c>
      <c r="H1" s="2" t="s">
        <v>23</v>
      </c>
    </row>
    <row r="3" spans="2:19" x14ac:dyDescent="0.3">
      <c r="C3" t="s">
        <v>6</v>
      </c>
      <c r="D3" t="s">
        <v>4</v>
      </c>
      <c r="F3" s="1">
        <v>41701</v>
      </c>
      <c r="G3" s="6">
        <f>F3</f>
        <v>41701</v>
      </c>
      <c r="H3">
        <v>1</v>
      </c>
    </row>
    <row r="4" spans="2:19" x14ac:dyDescent="0.3">
      <c r="B4" s="3" t="s">
        <v>3</v>
      </c>
    </row>
    <row r="5" spans="2:19" x14ac:dyDescent="0.3">
      <c r="B5" s="9" t="s">
        <v>28</v>
      </c>
      <c r="C5" t="s">
        <v>5</v>
      </c>
      <c r="F5">
        <f>COUNTA(F7:AR7)</f>
        <v>14</v>
      </c>
    </row>
    <row r="6" spans="2:19" x14ac:dyDescent="0.3">
      <c r="B6" s="9"/>
      <c r="C6" t="s">
        <v>7</v>
      </c>
      <c r="F6" s="5" t="s">
        <v>9</v>
      </c>
      <c r="G6" s="5" t="s">
        <v>10</v>
      </c>
      <c r="H6" s="5" t="s">
        <v>11</v>
      </c>
      <c r="I6" s="5" t="s">
        <v>12</v>
      </c>
      <c r="J6" s="5" t="s">
        <v>13</v>
      </c>
      <c r="K6" s="5" t="s">
        <v>14</v>
      </c>
      <c r="L6" s="5" t="s">
        <v>15</v>
      </c>
      <c r="M6" s="5" t="s">
        <v>16</v>
      </c>
      <c r="N6" s="5" t="s">
        <v>17</v>
      </c>
      <c r="O6" s="5" t="s">
        <v>18</v>
      </c>
      <c r="P6" s="5" t="s">
        <v>19</v>
      </c>
      <c r="Q6" s="5" t="s">
        <v>20</v>
      </c>
      <c r="R6" s="5" t="s">
        <v>21</v>
      </c>
      <c r="S6" s="5" t="s">
        <v>22</v>
      </c>
    </row>
    <row r="7" spans="2:19" x14ac:dyDescent="0.3">
      <c r="B7" s="9"/>
      <c r="C7" t="s">
        <v>24</v>
      </c>
      <c r="F7" s="4">
        <v>2.4899999999999999E-2</v>
      </c>
      <c r="G7" s="4">
        <v>2.6499999999999999E-2</v>
      </c>
      <c r="H7" s="4">
        <v>2.6550000000000001E-2</v>
      </c>
      <c r="I7" s="4">
        <v>2.665E-2</v>
      </c>
      <c r="J7" s="4">
        <v>2.6800000000000001E-2</v>
      </c>
      <c r="K7" s="4">
        <v>2.785E-2</v>
      </c>
      <c r="L7" s="4">
        <v>2.8930000000000001E-2</v>
      </c>
      <c r="M7" s="4">
        <v>2.9899999999999999E-2</v>
      </c>
      <c r="N7" s="4">
        <v>3.0779999999999998E-2</v>
      </c>
      <c r="O7" s="4">
        <v>3.2030000000000003E-2</v>
      </c>
      <c r="P7" s="4">
        <v>3.3279999999999997E-2</v>
      </c>
      <c r="Q7" s="4">
        <v>3.363E-2</v>
      </c>
      <c r="R7" s="4">
        <v>3.39E-2</v>
      </c>
      <c r="S7" s="4">
        <v>3.5099999999999999E-2</v>
      </c>
    </row>
    <row r="8" spans="2:19" x14ac:dyDescent="0.3">
      <c r="B8" s="9"/>
      <c r="C8" t="s">
        <v>8</v>
      </c>
      <c r="F8" s="4">
        <v>2.4899999999999999E-2</v>
      </c>
      <c r="G8" s="4">
        <v>2.8889999999999999E-2</v>
      </c>
      <c r="H8" s="4">
        <v>2.9590000000000002E-2</v>
      </c>
      <c r="I8" s="4">
        <v>3.014E-2</v>
      </c>
      <c r="J8" s="4">
        <v>3.0509999999999999E-2</v>
      </c>
      <c r="K8" s="4">
        <v>3.2539999999999999E-2</v>
      </c>
      <c r="L8" s="4">
        <v>3.5040000000000002E-2</v>
      </c>
      <c r="M8" s="4">
        <v>3.6159999999999998E-2</v>
      </c>
      <c r="N8" s="4">
        <v>3.857E-2</v>
      </c>
      <c r="O8" s="4">
        <v>4.1410000000000002E-2</v>
      </c>
      <c r="P8" s="4">
        <v>4.4630000000000003E-2</v>
      </c>
      <c r="Q8" s="4">
        <v>4.5990000000000003E-2</v>
      </c>
      <c r="R8" s="4">
        <v>4.8030000000000003E-2</v>
      </c>
      <c r="S8" s="4">
        <v>4.922E-2</v>
      </c>
    </row>
    <row r="9" spans="2:19" x14ac:dyDescent="0.3">
      <c r="B9" s="9"/>
      <c r="C9" t="s">
        <v>25</v>
      </c>
      <c r="F9" t="s">
        <v>26</v>
      </c>
      <c r="G9" s="4" t="s">
        <v>26</v>
      </c>
      <c r="H9" s="4" t="s">
        <v>26</v>
      </c>
      <c r="I9" s="4" t="s">
        <v>26</v>
      </c>
      <c r="J9" t="s">
        <v>27</v>
      </c>
      <c r="K9" s="4" t="s">
        <v>27</v>
      </c>
      <c r="L9" s="4" t="s">
        <v>27</v>
      </c>
      <c r="M9" s="4" t="s">
        <v>27</v>
      </c>
      <c r="N9" s="4" t="s">
        <v>27</v>
      </c>
      <c r="O9" s="4" t="s">
        <v>27</v>
      </c>
      <c r="P9" s="4" t="s">
        <v>27</v>
      </c>
      <c r="Q9" s="4" t="s">
        <v>27</v>
      </c>
      <c r="R9" s="4" t="s">
        <v>27</v>
      </c>
      <c r="S9" s="4" t="s">
        <v>27</v>
      </c>
    </row>
    <row r="10" spans="2:19" x14ac:dyDescent="0.3"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</row>
    <row r="11" spans="2:19" x14ac:dyDescent="0.3">
      <c r="C11" t="s">
        <v>29</v>
      </c>
      <c r="E11" t="s">
        <v>50</v>
      </c>
      <c r="F11">
        <v>15</v>
      </c>
      <c r="G11">
        <v>9</v>
      </c>
    </row>
    <row r="12" spans="2:19" x14ac:dyDescent="0.3">
      <c r="C12" t="s">
        <v>30</v>
      </c>
      <c r="F12" s="7" t="s">
        <v>36</v>
      </c>
      <c r="G12" s="7" t="s">
        <v>48</v>
      </c>
      <c r="H12" s="7" t="s">
        <v>38</v>
      </c>
      <c r="I12" s="7" t="s">
        <v>49</v>
      </c>
      <c r="J12" s="7" t="s">
        <v>42</v>
      </c>
      <c r="K12" s="7" t="s">
        <v>43</v>
      </c>
      <c r="L12" s="7" t="s">
        <v>44</v>
      </c>
      <c r="M12" s="7" t="s">
        <v>45</v>
      </c>
      <c r="N12" s="7" t="s">
        <v>46</v>
      </c>
    </row>
    <row r="13" spans="2:19" x14ac:dyDescent="0.3">
      <c r="C13" t="s">
        <v>31</v>
      </c>
      <c r="E13" s="7" t="s">
        <v>32</v>
      </c>
      <c r="F13" s="8">
        <v>0.109</v>
      </c>
      <c r="G13" s="8">
        <v>0.13300000000000001</v>
      </c>
      <c r="H13" s="8">
        <v>0.14000000000000001</v>
      </c>
      <c r="I13" s="8">
        <v>0.1525</v>
      </c>
      <c r="J13" s="8">
        <v>0.16550000000000001</v>
      </c>
      <c r="K13" s="8">
        <v>0.16950000000000001</v>
      </c>
      <c r="L13" s="8">
        <v>0.17</v>
      </c>
      <c r="M13" s="8">
        <v>0.16350000000000001</v>
      </c>
      <c r="N13" s="8">
        <v>0.159</v>
      </c>
    </row>
    <row r="14" spans="2:19" x14ac:dyDescent="0.3">
      <c r="E14" s="7" t="s">
        <v>33</v>
      </c>
      <c r="F14" s="8">
        <v>0.12</v>
      </c>
      <c r="G14" s="8">
        <v>0.13150000000000001</v>
      </c>
      <c r="H14" s="8">
        <v>0.14699999999999999</v>
      </c>
      <c r="I14" s="8">
        <v>0.16</v>
      </c>
      <c r="J14" s="8">
        <v>0.17399999999999999</v>
      </c>
      <c r="K14" s="8">
        <v>0.16900000000000001</v>
      </c>
      <c r="L14" s="8">
        <v>0.16500000000000001</v>
      </c>
      <c r="M14" s="8">
        <v>0.16200000000000001</v>
      </c>
      <c r="N14" s="8">
        <v>0.157</v>
      </c>
    </row>
    <row r="15" spans="2:19" x14ac:dyDescent="0.3">
      <c r="E15" s="7" t="s">
        <v>34</v>
      </c>
      <c r="F15" s="8">
        <v>0.1305</v>
      </c>
      <c r="G15" s="8">
        <v>0.13950000000000001</v>
      </c>
      <c r="H15" s="8">
        <v>0.14899999999999999</v>
      </c>
      <c r="I15" s="8">
        <v>0.158</v>
      </c>
      <c r="J15" s="8">
        <v>0.16800000000000001</v>
      </c>
      <c r="K15" s="8">
        <v>0.16500000000000001</v>
      </c>
      <c r="L15" s="8">
        <v>0.16300000000000001</v>
      </c>
      <c r="M15" s="8">
        <v>0.159</v>
      </c>
      <c r="N15" s="8">
        <v>0.155</v>
      </c>
    </row>
    <row r="16" spans="2:19" x14ac:dyDescent="0.3">
      <c r="E16" s="7" t="s">
        <v>35</v>
      </c>
      <c r="F16" s="8">
        <v>0.13350000000000001</v>
      </c>
      <c r="G16" s="8">
        <v>0.14050000000000001</v>
      </c>
      <c r="H16" s="8">
        <v>0.14899999999999999</v>
      </c>
      <c r="I16" s="8">
        <v>0.157</v>
      </c>
      <c r="J16" s="8">
        <v>0.16500000000000001</v>
      </c>
      <c r="K16" s="8">
        <v>0.16</v>
      </c>
      <c r="L16" s="8">
        <v>0.156</v>
      </c>
      <c r="M16" s="8">
        <v>0.153</v>
      </c>
      <c r="N16" s="8">
        <v>0.14799999999999999</v>
      </c>
    </row>
    <row r="17" spans="5:14" x14ac:dyDescent="0.3">
      <c r="E17" s="7" t="s">
        <v>36</v>
      </c>
      <c r="F17" s="8">
        <v>0.13550000000000001</v>
      </c>
      <c r="G17" s="8">
        <v>0.14149999999999999</v>
      </c>
      <c r="H17" s="8">
        <v>0.14799999999999999</v>
      </c>
      <c r="I17" s="8">
        <v>0.155</v>
      </c>
      <c r="J17" s="8">
        <v>0.16300000000000001</v>
      </c>
      <c r="K17" s="8">
        <v>0.159</v>
      </c>
      <c r="L17" s="8">
        <v>0.1545</v>
      </c>
      <c r="M17" s="8">
        <v>0.14649999999999999</v>
      </c>
      <c r="N17" s="8">
        <v>0.14149999999999999</v>
      </c>
    </row>
    <row r="18" spans="5:14" x14ac:dyDescent="0.3">
      <c r="E18" s="7" t="s">
        <v>39</v>
      </c>
      <c r="F18" s="8">
        <v>0.14299999999999999</v>
      </c>
      <c r="G18" s="8">
        <v>0.14799999999999999</v>
      </c>
      <c r="H18" s="8">
        <v>0.15049999999999999</v>
      </c>
      <c r="I18" s="8">
        <v>0.1545</v>
      </c>
      <c r="J18" s="8">
        <v>0.159</v>
      </c>
      <c r="K18" s="8">
        <v>0.1535</v>
      </c>
      <c r="L18" s="8">
        <v>0.15</v>
      </c>
      <c r="M18" s="8">
        <v>0.14099999999999999</v>
      </c>
      <c r="N18" s="8">
        <v>0.13600000000000001</v>
      </c>
    </row>
    <row r="19" spans="5:14" x14ac:dyDescent="0.3">
      <c r="E19" s="7" t="s">
        <v>37</v>
      </c>
      <c r="F19" s="8">
        <v>0.154</v>
      </c>
      <c r="G19" s="8">
        <v>0.156</v>
      </c>
      <c r="H19" s="8">
        <v>0.153</v>
      </c>
      <c r="I19" s="8">
        <v>0.1545</v>
      </c>
      <c r="J19" s="8">
        <v>0.156</v>
      </c>
      <c r="K19" s="8">
        <v>0.15</v>
      </c>
      <c r="L19" s="8">
        <v>0.14599999999999999</v>
      </c>
      <c r="M19" s="8">
        <v>0.13600000000000001</v>
      </c>
      <c r="N19" s="8">
        <v>0.13100000000000001</v>
      </c>
    </row>
    <row r="20" spans="5:14" x14ac:dyDescent="0.3">
      <c r="E20" s="7" t="s">
        <v>40</v>
      </c>
      <c r="F20" s="8">
        <v>0.16350000000000001</v>
      </c>
      <c r="G20" s="8">
        <v>0.1585</v>
      </c>
      <c r="H20" s="8">
        <v>0.1555</v>
      </c>
      <c r="I20" s="8">
        <v>0.153</v>
      </c>
      <c r="J20" s="8">
        <v>0.15049999999999999</v>
      </c>
      <c r="K20" s="8">
        <v>0.14599999999999999</v>
      </c>
      <c r="L20" s="8">
        <v>0.14299999999999999</v>
      </c>
      <c r="M20" s="8">
        <v>0.13400000000000001</v>
      </c>
      <c r="N20" s="8">
        <v>0.129</v>
      </c>
    </row>
    <row r="21" spans="5:14" x14ac:dyDescent="0.3">
      <c r="E21" s="7" t="s">
        <v>41</v>
      </c>
      <c r="F21" s="8">
        <v>0.161</v>
      </c>
      <c r="G21" s="8">
        <v>0.1575</v>
      </c>
      <c r="H21" s="8">
        <v>0.1535</v>
      </c>
      <c r="I21" s="8">
        <v>0.15</v>
      </c>
      <c r="J21" s="8">
        <v>0.14699999999999999</v>
      </c>
      <c r="K21" s="8">
        <v>0.14399999999999999</v>
      </c>
      <c r="L21" s="8">
        <v>0.14199999999999999</v>
      </c>
      <c r="M21" s="8">
        <v>0.13300000000000001</v>
      </c>
      <c r="N21" s="8">
        <v>0.126</v>
      </c>
    </row>
    <row r="22" spans="5:14" x14ac:dyDescent="0.3">
      <c r="E22" s="7" t="s">
        <v>42</v>
      </c>
      <c r="F22" s="8">
        <v>0.16350000000000001</v>
      </c>
      <c r="G22" s="8">
        <v>0.1565</v>
      </c>
      <c r="H22" s="8">
        <v>0.153</v>
      </c>
      <c r="I22" s="8">
        <v>0.14949999999999999</v>
      </c>
      <c r="J22" s="8">
        <v>0.14599999999999999</v>
      </c>
      <c r="K22" s="8">
        <v>0.14399999999999999</v>
      </c>
      <c r="L22" s="8">
        <v>0.14299999999999999</v>
      </c>
      <c r="M22" s="8">
        <v>0.13300000000000001</v>
      </c>
      <c r="N22" s="8">
        <v>0.127</v>
      </c>
    </row>
    <row r="23" spans="5:14" x14ac:dyDescent="0.3">
      <c r="E23" s="7" t="s">
        <v>43</v>
      </c>
      <c r="F23" s="8">
        <v>0.151</v>
      </c>
      <c r="G23" s="8">
        <v>0.14949999999999999</v>
      </c>
      <c r="H23" s="8">
        <v>0.14799999999999999</v>
      </c>
      <c r="I23" s="8">
        <v>0.14549999999999999</v>
      </c>
      <c r="J23" s="8">
        <v>0.14199999999999999</v>
      </c>
      <c r="K23" s="8">
        <v>0.14099999999999999</v>
      </c>
      <c r="L23" s="8">
        <v>0.13800000000000001</v>
      </c>
      <c r="M23" s="8">
        <v>0.128</v>
      </c>
      <c r="N23" s="8">
        <v>0.124</v>
      </c>
    </row>
    <row r="24" spans="5:14" x14ac:dyDescent="0.3">
      <c r="E24" s="7" t="s">
        <v>44</v>
      </c>
      <c r="F24" s="8">
        <v>0.152</v>
      </c>
      <c r="G24" s="8">
        <v>0.15049999999999999</v>
      </c>
      <c r="H24" s="8">
        <v>0.14799999999999999</v>
      </c>
      <c r="I24" s="8">
        <v>0.14549999999999999</v>
      </c>
      <c r="J24" s="8">
        <v>0.14299999999999999</v>
      </c>
      <c r="K24" s="8">
        <v>0.14000000000000001</v>
      </c>
      <c r="L24" s="8">
        <v>0.13200000000000001</v>
      </c>
      <c r="M24" s="8">
        <v>0.125</v>
      </c>
      <c r="N24" s="8">
        <v>0.122</v>
      </c>
    </row>
    <row r="25" spans="5:14" x14ac:dyDescent="0.3">
      <c r="E25" s="7" t="s">
        <v>45</v>
      </c>
      <c r="F25" s="8">
        <v>0.1525</v>
      </c>
      <c r="G25" s="8">
        <v>0.1515</v>
      </c>
      <c r="H25" s="8">
        <v>0.14799999999999999</v>
      </c>
      <c r="I25" s="8">
        <v>0.14149999999999999</v>
      </c>
      <c r="J25" s="8">
        <v>0.13700000000000001</v>
      </c>
      <c r="K25" s="8">
        <v>0.13100000000000001</v>
      </c>
      <c r="L25" s="8">
        <v>0.128</v>
      </c>
      <c r="M25" s="8">
        <v>0.121</v>
      </c>
      <c r="N25" s="8">
        <v>0.12</v>
      </c>
    </row>
    <row r="26" spans="5:14" x14ac:dyDescent="0.3">
      <c r="E26" s="7" t="s">
        <v>46</v>
      </c>
      <c r="F26" s="8">
        <v>0.14000000000000001</v>
      </c>
      <c r="G26" s="8">
        <v>0.13400000000000001</v>
      </c>
      <c r="H26" s="8">
        <v>0.128</v>
      </c>
      <c r="I26" s="8">
        <v>0.124</v>
      </c>
      <c r="J26" s="8">
        <v>0.122</v>
      </c>
      <c r="K26" s="8">
        <v>0.12</v>
      </c>
      <c r="L26" s="8">
        <v>0.122</v>
      </c>
      <c r="M26" s="8">
        <v>0.11700000000000001</v>
      </c>
      <c r="N26" s="8">
        <v>0.11799999999999999</v>
      </c>
    </row>
    <row r="27" spans="5:14" x14ac:dyDescent="0.3">
      <c r="E27" s="7" t="s">
        <v>47</v>
      </c>
      <c r="F27" s="8">
        <v>0.129</v>
      </c>
      <c r="G27" s="8">
        <v>0.129</v>
      </c>
      <c r="H27" s="8">
        <v>0.127</v>
      </c>
      <c r="I27" s="8">
        <v>0.126</v>
      </c>
      <c r="J27" s="8">
        <v>0.124</v>
      </c>
      <c r="K27" s="8">
        <v>0.13100000000000001</v>
      </c>
      <c r="L27" s="8">
        <v>0.13400000000000001</v>
      </c>
      <c r="M27" s="8">
        <v>0.11700000000000001</v>
      </c>
      <c r="N27" s="8">
        <v>0.11799999999999999</v>
      </c>
    </row>
  </sheetData>
  <mergeCells count="1">
    <mergeCell ref="B5:B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11</xdr:col>
                <xdr:colOff>571500</xdr:colOff>
                <xdr:row>0</xdr:row>
                <xdr:rowOff>85725</xdr:rowOff>
              </from>
              <to>
                <xdr:col>12</xdr:col>
                <xdr:colOff>647700</xdr:colOff>
                <xdr:row>2</xdr:row>
                <xdr:rowOff>152400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spotRateN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Jay</cp:lastModifiedBy>
  <dcterms:created xsi:type="dcterms:W3CDTF">2014-04-11T05:35:47Z</dcterms:created>
  <dcterms:modified xsi:type="dcterms:W3CDTF">2014-09-01T04:36:43Z</dcterms:modified>
</cp:coreProperties>
</file>