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IRDATA" sheetId="3" r:id="rId3"/>
    <sheet name="VOLDATA" sheetId="4" r:id="rId4"/>
  </sheets>
  <functionGroups builtInGroupCount="17"/>
  <definedNames>
    <definedName name="spotRateN">Sheet1!$F$5</definedName>
  </definedNames>
  <calcPr calcId="145621"/>
</workbook>
</file>

<file path=xl/calcChain.xml><?xml version="1.0" encoding="utf-8"?>
<calcChain xmlns="http://schemas.openxmlformats.org/spreadsheetml/2006/main">
  <c r="G34" i="1" l="1"/>
  <c r="F36" i="1"/>
  <c r="F45" i="1" l="1"/>
  <c r="G44" i="1" l="1"/>
  <c r="F46" i="1" s="1"/>
  <c r="G45" i="1" l="1"/>
  <c r="H45" i="1" s="1"/>
  <c r="I45" i="1" s="1"/>
  <c r="G46" i="1"/>
  <c r="F5" i="1"/>
  <c r="H46" i="1" l="1"/>
  <c r="J45" i="1"/>
  <c r="I46" i="1"/>
  <c r="K45" i="1" l="1"/>
  <c r="J46" i="1"/>
  <c r="L45" i="1" l="1"/>
  <c r="K46" i="1"/>
  <c r="M45" i="1" l="1"/>
  <c r="L46" i="1"/>
  <c r="N45" i="1" l="1"/>
  <c r="M46" i="1"/>
  <c r="O45" i="1" l="1"/>
  <c r="N46" i="1"/>
  <c r="P45" i="1" l="1"/>
  <c r="O46" i="1"/>
  <c r="Q45" i="1" l="1"/>
  <c r="P46" i="1"/>
  <c r="Q46" i="1" l="1"/>
  <c r="F33" i="1" s="1"/>
  <c r="F43" i="1"/>
</calcChain>
</file>

<file path=xl/comments1.xml><?xml version="1.0" encoding="utf-8"?>
<comments xmlns="http://schemas.openxmlformats.org/spreadsheetml/2006/main">
  <authors>
    <author>Jay</author>
  </authors>
  <commentList>
    <comment ref="B37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38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<sst xmlns="http://schemas.openxmlformats.org/spreadsheetml/2006/main" count="620" uniqueCount="138">
  <si>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</si>
  <si>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</si>
  <si>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</si>
  <si>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</si>
  <si>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</si>
  <si>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</si>
  <si>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</si>
  <si>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</si>
  <si>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</si>
  <si>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</si>
  <si>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</si>
  <si>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</si>
  <si>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</si>
  <si>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</si>
  <si>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</si>
  <si>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</si>
  <si>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</si>
  <si>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</si>
  <si>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</si>
  <si>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</si>
  <si>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</si>
  <si>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</si>
  <si>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</si>
  <si>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</si>
  <si>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</si>
  <si>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</si>
  <si>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</si>
  <si>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</si>
  <si>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</si>
  <si>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matuN, tenorN</t>
    <phoneticPr fontId="1" type="noConversion"/>
  </si>
  <si>
    <t>volT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</si>
  <si>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</si>
  <si>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</si>
  <si>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</si>
  <si>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</si>
  <si>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</si>
  <si>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Y1H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</si>
  <si>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</si>
  <si>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</si>
  <si>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</si>
  <si>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</si>
  <si>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</si>
  <si>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</si>
  <si>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</si>
  <si>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</si>
  <si>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</si>
  <si>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</si>
  <si>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</si>
  <si>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</si>
  <si>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</si>
  <si>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</si>
  <si>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</si>
  <si>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</si>
  <si>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</si>
  <si>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</si>
  <si>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Volatility Surface</t>
    <phoneticPr fontId="1" type="noConversion"/>
  </si>
  <si>
    <t>Product Information</t>
    <phoneticPr fontId="1" type="noConversion"/>
  </si>
  <si>
    <t>발행일</t>
    <phoneticPr fontId="1" type="noConversion"/>
  </si>
  <si>
    <t>만기일</t>
    <phoneticPr fontId="1" type="noConversion"/>
  </si>
  <si>
    <t>vols</t>
    <phoneticPr fontId="1" type="noConversion"/>
  </si>
  <si>
    <t>notional</t>
    <phoneticPr fontId="1" type="noConversion"/>
  </si>
  <si>
    <t>issueDate</t>
    <phoneticPr fontId="1" type="noConversion"/>
  </si>
  <si>
    <t>maturityDate</t>
    <phoneticPr fontId="1" type="noConversion"/>
  </si>
  <si>
    <t>원금/통화</t>
    <phoneticPr fontId="1" type="noConversion"/>
  </si>
  <si>
    <t>KRW</t>
    <phoneticPr fontId="1" type="noConversion"/>
  </si>
  <si>
    <t>- 기준금리유형</t>
    <phoneticPr fontId="1" type="noConversion"/>
  </si>
  <si>
    <t>- 이자율유형</t>
    <phoneticPr fontId="1" type="noConversion"/>
  </si>
  <si>
    <t>Forward/Swap</t>
    <phoneticPr fontId="1" type="noConversion"/>
  </si>
  <si>
    <t>- Swap쿠폰주기</t>
    <phoneticPr fontId="1" type="noConversion"/>
  </si>
  <si>
    <t>Forward</t>
    <phoneticPr fontId="1" type="noConversion"/>
  </si>
  <si>
    <t>None</t>
    <phoneticPr fontId="1" type="noConversion"/>
  </si>
  <si>
    <t>Range정보</t>
    <phoneticPr fontId="1" type="noConversion"/>
  </si>
  <si>
    <t>- Range 주기</t>
    <phoneticPr fontId="1" type="noConversion"/>
  </si>
  <si>
    <t>날짜계산규칙</t>
    <phoneticPr fontId="1" type="noConversion"/>
  </si>
  <si>
    <t>dcf</t>
    <phoneticPr fontId="1" type="noConversion"/>
  </si>
  <si>
    <t>- Range 수</t>
    <phoneticPr fontId="1" type="noConversion"/>
  </si>
  <si>
    <t>rangeNum</t>
    <phoneticPr fontId="1" type="noConversion"/>
  </si>
  <si>
    <t>rangeMatuDays</t>
    <phoneticPr fontId="1" type="noConversion"/>
  </si>
  <si>
    <t>- Range 시작일 배열</t>
    <phoneticPr fontId="1" type="noConversion"/>
  </si>
  <si>
    <t>- Range 끝일 배열</t>
    <phoneticPr fontId="1" type="noConversion"/>
  </si>
  <si>
    <t>- In-Coupon Rates</t>
    <phoneticPr fontId="1" type="noConversion"/>
  </si>
  <si>
    <t>inCouponRates</t>
    <phoneticPr fontId="1" type="noConversion"/>
  </si>
  <si>
    <t>- Out-Coupon Rates</t>
    <phoneticPr fontId="1" type="noConversion"/>
  </si>
  <si>
    <t>outCouponRates</t>
    <phoneticPr fontId="1" type="noConversion"/>
  </si>
  <si>
    <t>- Upper Bounds</t>
    <phoneticPr fontId="1" type="noConversion"/>
  </si>
  <si>
    <t>- Lower Bounds</t>
    <phoneticPr fontId="1" type="noConversion"/>
  </si>
  <si>
    <t>upperBounds</t>
    <phoneticPr fontId="1" type="noConversion"/>
  </si>
  <si>
    <t>lowerBounds</t>
    <phoneticPr fontId="1" type="noConversion"/>
  </si>
  <si>
    <t>Option정보</t>
    <phoneticPr fontId="1" type="noConversion"/>
  </si>
  <si>
    <t>- Callable 유무</t>
    <phoneticPr fontId="1" type="noConversion"/>
  </si>
  <si>
    <t>callFlags</t>
    <phoneticPr fontId="1" type="noConversion"/>
  </si>
  <si>
    <t>ACT365</t>
    <phoneticPr fontId="1" type="noConversion"/>
  </si>
  <si>
    <t>YTM Rates</t>
    <phoneticPr fontId="1" type="noConversion"/>
  </si>
  <si>
    <t>MC Information</t>
    <phoneticPr fontId="1" type="noConversion"/>
  </si>
  <si>
    <t>관측주기</t>
    <phoneticPr fontId="1" type="noConversion"/>
  </si>
  <si>
    <t>monitorFrequency</t>
    <phoneticPr fontId="1" type="noConversion"/>
  </si>
  <si>
    <t>시뮬레이션수</t>
    <phoneticPr fontId="1" type="noConversion"/>
  </si>
  <si>
    <t>simulationNum</t>
    <phoneticPr fontId="1" type="noConversion"/>
  </si>
  <si>
    <t>Spot/Spread</t>
    <phoneticPr fontId="1" type="noConversion"/>
  </si>
  <si>
    <t>Spot</t>
    <phoneticPr fontId="1" type="noConversion"/>
  </si>
  <si>
    <t>- 이자율테너</t>
    <phoneticPr fontId="1" type="noConversion"/>
  </si>
  <si>
    <t>기준금리정보</t>
    <phoneticPr fontId="1" type="noConversion"/>
  </si>
  <si>
    <t>rateType</t>
    <phoneticPr fontId="1" type="noConversion"/>
  </si>
  <si>
    <t>tenor</t>
    <phoneticPr fontId="1" type="noConversion"/>
  </si>
  <si>
    <t>swapCouponFrequency</t>
    <phoneticPr fontId="1" type="noConversion"/>
  </si>
  <si>
    <t>기준금리1</t>
    <phoneticPr fontId="1" type="noConversion"/>
  </si>
  <si>
    <t>기준금리2</t>
    <phoneticPr fontId="1" type="noConversion"/>
  </si>
  <si>
    <t>referenceType</t>
    <phoneticPr fontId="1" type="noConversion"/>
  </si>
  <si>
    <t>Tenor</t>
    <phoneticPr fontId="1" type="noConversion"/>
  </si>
  <si>
    <t>Rate</t>
    <phoneticPr fontId="1" type="noConversion"/>
  </si>
  <si>
    <t>D1</t>
  </si>
  <si>
    <t>M3</t>
  </si>
  <si>
    <t>M6</t>
  </si>
  <si>
    <t>M9</t>
  </si>
  <si>
    <t>Y1</t>
  </si>
  <si>
    <t>Y2</t>
  </si>
  <si>
    <t>Y3</t>
  </si>
  <si>
    <t>Y4</t>
  </si>
  <si>
    <t>Y5</t>
  </si>
  <si>
    <t>Y7</t>
  </si>
  <si>
    <t>Y10</t>
  </si>
  <si>
    <t>Y12</t>
  </si>
  <si>
    <t>Y15</t>
  </si>
  <si>
    <t>Y20</t>
  </si>
  <si>
    <t>KRWIRS</t>
    <phoneticPr fontId="1" type="noConversion"/>
  </si>
  <si>
    <t>DT</t>
    <phoneticPr fontId="1" type="noConversion"/>
  </si>
  <si>
    <t>KRWTBOND</t>
    <phoneticPr fontId="1" type="noConversion"/>
  </si>
  <si>
    <t>IRTYPE</t>
    <phoneticPr fontId="1" type="noConversion"/>
  </si>
  <si>
    <t>Deposit</t>
  </si>
  <si>
    <t>Swap</t>
  </si>
  <si>
    <t>DT</t>
    <phoneticPr fontId="1" type="noConversion"/>
  </si>
  <si>
    <t>ID</t>
    <phoneticPr fontId="1" type="noConversion"/>
  </si>
  <si>
    <t>ID</t>
    <phoneticPr fontId="1" type="noConversion"/>
  </si>
  <si>
    <t>Tenor</t>
    <phoneticPr fontId="1" type="noConversion"/>
  </si>
  <si>
    <t>Value</t>
    <phoneticPr fontId="1" type="noConversion"/>
  </si>
  <si>
    <t>KRWSwaption</t>
    <phoneticPr fontId="1" type="noConversion"/>
  </si>
  <si>
    <t>Maturity</t>
    <phoneticPr fontId="1" type="noConversion"/>
  </si>
  <si>
    <t>Correlation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</si>
</sst>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2">
      <alignment horizontal="right" vertical="center"/>
    </xf>
  </cellStyleXfs>
  <cellXfs count="2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3" fillId="3" borderId="2" xfId="3" applyBorder="1" applyAlignment="1">
      <alignment horizontal="right" vertical="center"/>
    </xf>
    <xf numFmtId="10" fontId="3" fillId="3" borderId="2" xfId="2" applyNumberFormat="1" applyFill="1" applyBorder="1" applyAlignment="1">
      <alignment horizontal="right" vertical="center"/>
    </xf>
    <xf numFmtId="0" fontId="3" fillId="3" borderId="2" xfId="4">
      <alignment horizontal="right" vertical="center"/>
    </xf>
    <xf numFmtId="0" fontId="0" fillId="0" borderId="0" xfId="0" quotePrefix="1">
      <alignment vertical="center"/>
    </xf>
    <xf numFmtId="0" fontId="2" fillId="4" borderId="0" xfId="0" applyFont="1" applyFill="1">
      <alignment vertical="center"/>
    </xf>
    <xf numFmtId="0" fontId="7" fillId="0" borderId="0" xfId="0" quotePrefix="1" applyFont="1">
      <alignment vertical="center"/>
    </xf>
    <xf numFmtId="176" fontId="3" fillId="3" borderId="2" xfId="4" applyNumberFormat="1">
      <alignment horizontal="right" vertical="center"/>
    </xf>
    <xf numFmtId="177" fontId="0" fillId="0" borderId="0" xfId="0" applyNumberFormat="1">
      <alignment vertical="center"/>
    </xf>
    <xf numFmtId="14" fontId="3" fillId="3" borderId="2" xfId="4" applyNumberForma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5">
    <cellStyle name="20% - 강조색3" xfId="3" builtinId="38"/>
    <cellStyle name="고정된항목" xfId="1"/>
    <cellStyle name="백분율" xfId="2" builtinId="5"/>
    <cellStyle name="입력변수" xf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57"/>
  <sheetViews>
    <sheetView tabSelected="1" workbookViewId="0">
      <pane xSplit="5" ySplit="3" topLeftCell="F31" activePane="bottomRight" state="frozen"/>
      <selection pane="topRight" activeCell="D1" sqref="D1"/>
      <selection pane="bottomLeft" activeCell="A4" sqref="A4"/>
      <selection pane="bottomRight" activeCell="J35" sqref="J35"/>
    </sheetView>
  </sheetViews>
  <sheetFormatPr defaultRowHeight="16.5" x14ac:dyDescent="0.3"/>
  <cols>
    <col min="1" max="1" width="2.5" customWidth="1"/>
    <col min="2" max="2" width="18.625" bestFit="1" customWidth="1"/>
    <col min="3" max="3" width="16.75" bestFit="1" customWidth="1"/>
    <col min="4" max="4" width="12.125" bestFit="1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41740</v>
      </c>
      <c r="G3" s="6"/>
      <c r="H3" s="15">
        <v>0.94851460460572368</v>
      </c>
    </row>
    <row r="4" spans="2:19" x14ac:dyDescent="0.3">
      <c r="B4" s="12" t="s">
        <v>3</v>
      </c>
    </row>
    <row r="5" spans="2:19" x14ac:dyDescent="0.3">
      <c r="B5" s="19" t="s">
        <v>27</v>
      </c>
      <c r="C5" t="s">
        <v>5</v>
      </c>
      <c r="F5">
        <f>COUNTA(F7:AR7)</f>
        <v>14</v>
      </c>
    </row>
    <row r="6" spans="2:19" x14ac:dyDescent="0.3">
      <c r="B6" s="19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19"/>
      <c r="C7" t="s">
        <v>92</v>
      </c>
      <c r="F7" s="8">
        <v>2.4899999999999999E-2</v>
      </c>
      <c r="G7" s="8">
        <v>2.6499999999999999E-2</v>
      </c>
      <c r="H7" s="8">
        <v>2.6550000000000001E-2</v>
      </c>
      <c r="I7" s="8">
        <v>2.665E-2</v>
      </c>
      <c r="J7" s="8">
        <v>2.6800000000000001E-2</v>
      </c>
      <c r="K7" s="8">
        <v>2.785E-2</v>
      </c>
      <c r="L7" s="8">
        <v>2.8930000000000001E-2</v>
      </c>
      <c r="M7" s="8">
        <v>2.9899999999999999E-2</v>
      </c>
      <c r="N7" s="8">
        <v>3.0779999999999998E-2</v>
      </c>
      <c r="O7" s="8">
        <v>3.2030000000000003E-2</v>
      </c>
      <c r="P7" s="8">
        <v>3.3279999999999997E-2</v>
      </c>
      <c r="Q7" s="8">
        <v>3.363E-2</v>
      </c>
      <c r="R7" s="8">
        <v>3.39E-2</v>
      </c>
      <c r="S7" s="8">
        <v>3.5099999999999999E-2</v>
      </c>
    </row>
    <row r="8" spans="2:19" x14ac:dyDescent="0.3">
      <c r="B8" s="19"/>
      <c r="C8" t="s">
        <v>8</v>
      </c>
      <c r="F8" s="8">
        <v>2.4899999999999999E-2</v>
      </c>
      <c r="G8" s="8">
        <v>2.8889999999999999E-2</v>
      </c>
      <c r="H8" s="8">
        <v>2.9590000000000002E-2</v>
      </c>
      <c r="I8" s="8">
        <v>3.014E-2</v>
      </c>
      <c r="J8" s="8">
        <v>3.0509999999999999E-2</v>
      </c>
      <c r="K8" s="8">
        <v>3.2539999999999999E-2</v>
      </c>
      <c r="L8" s="8">
        <v>3.5040000000000002E-2</v>
      </c>
      <c r="M8" s="8">
        <v>3.6159999999999998E-2</v>
      </c>
      <c r="N8" s="8">
        <v>3.857E-2</v>
      </c>
      <c r="O8" s="8">
        <v>4.1410000000000002E-2</v>
      </c>
      <c r="P8" s="8">
        <v>4.4630000000000003E-2</v>
      </c>
      <c r="Q8" s="8">
        <v>4.5990000000000003E-2</v>
      </c>
      <c r="R8" s="8">
        <v>4.8030000000000003E-2</v>
      </c>
      <c r="S8" s="8">
        <v>4.922E-2</v>
      </c>
    </row>
    <row r="9" spans="2:19" x14ac:dyDescent="0.3">
      <c r="B9" s="19"/>
      <c r="C9" t="s">
        <v>24</v>
      </c>
      <c r="F9" s="8" t="s">
        <v>25</v>
      </c>
      <c r="G9" s="8" t="s">
        <v>25</v>
      </c>
      <c r="H9" s="8" t="s">
        <v>25</v>
      </c>
      <c r="I9" s="8" t="s">
        <v>25</v>
      </c>
      <c r="J9" s="8" t="s">
        <v>26</v>
      </c>
      <c r="K9" s="8" t="s">
        <v>26</v>
      </c>
      <c r="L9" s="8" t="s">
        <v>26</v>
      </c>
      <c r="M9" s="8" t="s">
        <v>26</v>
      </c>
      <c r="N9" s="8" t="s">
        <v>26</v>
      </c>
      <c r="O9" s="8" t="s">
        <v>26</v>
      </c>
      <c r="P9" s="8" t="s">
        <v>26</v>
      </c>
      <c r="Q9" s="8" t="s">
        <v>26</v>
      </c>
      <c r="R9" s="8" t="s">
        <v>26</v>
      </c>
      <c r="S9" s="8" t="s">
        <v>26</v>
      </c>
    </row>
    <row r="10" spans="2:19" s="4" customFormat="1" x14ac:dyDescent="0.3">
      <c r="B10" s="17"/>
      <c r="C10" s="4" t="s">
        <v>137</v>
      </c>
      <c r="F10" s="18">
        <v>1</v>
      </c>
    </row>
    <row r="12" spans="2:19" x14ac:dyDescent="0.3">
      <c r="B12" s="19" t="s">
        <v>55</v>
      </c>
      <c r="C12" s="4" t="s">
        <v>28</v>
      </c>
      <c r="D12" s="4"/>
      <c r="E12" s="4" t="s">
        <v>29</v>
      </c>
      <c r="F12" s="4">
        <v>15</v>
      </c>
      <c r="G12" s="4">
        <v>9</v>
      </c>
      <c r="H12" s="4"/>
      <c r="I12" s="4"/>
      <c r="J12" s="4"/>
      <c r="K12" s="4"/>
      <c r="L12" s="4"/>
      <c r="M12" s="4"/>
      <c r="N12" s="4"/>
    </row>
    <row r="13" spans="2:19" x14ac:dyDescent="0.3">
      <c r="B13" s="19"/>
      <c r="C13" s="4" t="s">
        <v>30</v>
      </c>
      <c r="D13" s="4"/>
      <c r="E13" s="4"/>
      <c r="F13" s="7" t="s">
        <v>46</v>
      </c>
      <c r="G13" s="7" t="s">
        <v>47</v>
      </c>
      <c r="H13" s="7" t="s">
        <v>48</v>
      </c>
      <c r="I13" s="7" t="s">
        <v>49</v>
      </c>
      <c r="J13" s="7" t="s">
        <v>50</v>
      </c>
      <c r="K13" s="7" t="s">
        <v>51</v>
      </c>
      <c r="L13" s="7" t="s">
        <v>52</v>
      </c>
      <c r="M13" s="7" t="s">
        <v>53</v>
      </c>
      <c r="N13" s="7" t="s">
        <v>54</v>
      </c>
    </row>
    <row r="14" spans="2:19" x14ac:dyDescent="0.3">
      <c r="B14" s="19"/>
      <c r="C14" s="4" t="s">
        <v>59</v>
      </c>
      <c r="D14" s="4"/>
      <c r="E14" s="7" t="s">
        <v>31</v>
      </c>
      <c r="F14" s="9">
        <v>0.109</v>
      </c>
      <c r="G14" s="9">
        <v>0.13300000000000001</v>
      </c>
      <c r="H14" s="9">
        <v>0.14000000000000001</v>
      </c>
      <c r="I14" s="9">
        <v>0.1525</v>
      </c>
      <c r="J14" s="9">
        <v>0.16550000000000001</v>
      </c>
      <c r="K14" s="9">
        <v>0.16950000000000001</v>
      </c>
      <c r="L14" s="9">
        <v>0.17</v>
      </c>
      <c r="M14" s="9">
        <v>0.16350000000000001</v>
      </c>
      <c r="N14" s="9">
        <v>0.159</v>
      </c>
    </row>
    <row r="15" spans="2:19" x14ac:dyDescent="0.3">
      <c r="B15" s="19"/>
      <c r="C15" s="4"/>
      <c r="D15" s="4"/>
      <c r="E15" s="7" t="s">
        <v>32</v>
      </c>
      <c r="F15" s="9">
        <v>0.12</v>
      </c>
      <c r="G15" s="9">
        <v>0.13150000000000001</v>
      </c>
      <c r="H15" s="9">
        <v>0.14699999999999999</v>
      </c>
      <c r="I15" s="9">
        <v>0.16</v>
      </c>
      <c r="J15" s="9">
        <v>0.17399999999999999</v>
      </c>
      <c r="K15" s="9">
        <v>0.16900000000000001</v>
      </c>
      <c r="L15" s="9">
        <v>0.16500000000000001</v>
      </c>
      <c r="M15" s="9">
        <v>0.16200000000000001</v>
      </c>
      <c r="N15" s="9">
        <v>0.157</v>
      </c>
    </row>
    <row r="16" spans="2:19" x14ac:dyDescent="0.3">
      <c r="B16" s="19"/>
      <c r="C16" s="4"/>
      <c r="D16" s="4"/>
      <c r="E16" s="7" t="s">
        <v>33</v>
      </c>
      <c r="F16" s="9">
        <v>0.1305</v>
      </c>
      <c r="G16" s="9">
        <v>0.13950000000000001</v>
      </c>
      <c r="H16" s="9">
        <v>0.14899999999999999</v>
      </c>
      <c r="I16" s="9">
        <v>0.158</v>
      </c>
      <c r="J16" s="9">
        <v>0.16800000000000001</v>
      </c>
      <c r="K16" s="9">
        <v>0.16500000000000001</v>
      </c>
      <c r="L16" s="9">
        <v>0.16300000000000001</v>
      </c>
      <c r="M16" s="9">
        <v>0.159</v>
      </c>
      <c r="N16" s="9">
        <v>0.155</v>
      </c>
    </row>
    <row r="17" spans="2:14" x14ac:dyDescent="0.3">
      <c r="B17" s="19"/>
      <c r="C17" s="4"/>
      <c r="D17" s="4"/>
      <c r="E17" s="7" t="s">
        <v>34</v>
      </c>
      <c r="F17" s="9">
        <v>0.13350000000000001</v>
      </c>
      <c r="G17" s="9">
        <v>0.14050000000000001</v>
      </c>
      <c r="H17" s="9">
        <v>0.14899999999999999</v>
      </c>
      <c r="I17" s="9">
        <v>0.157</v>
      </c>
      <c r="J17" s="9">
        <v>0.16500000000000001</v>
      </c>
      <c r="K17" s="9">
        <v>0.16</v>
      </c>
      <c r="L17" s="9">
        <v>0.156</v>
      </c>
      <c r="M17" s="9">
        <v>0.153</v>
      </c>
      <c r="N17" s="9">
        <v>0.14799999999999999</v>
      </c>
    </row>
    <row r="18" spans="2:14" x14ac:dyDescent="0.3">
      <c r="B18" s="19"/>
      <c r="C18" s="4"/>
      <c r="D18" s="4"/>
      <c r="E18" s="7" t="s">
        <v>35</v>
      </c>
      <c r="F18" s="9">
        <v>0.13550000000000001</v>
      </c>
      <c r="G18" s="9">
        <v>0.14149999999999999</v>
      </c>
      <c r="H18" s="9">
        <v>0.14799999999999999</v>
      </c>
      <c r="I18" s="9">
        <v>0.155</v>
      </c>
      <c r="J18" s="9">
        <v>0.16300000000000001</v>
      </c>
      <c r="K18" s="9">
        <v>0.159</v>
      </c>
      <c r="L18" s="9">
        <v>0.1545</v>
      </c>
      <c r="M18" s="9">
        <v>0.14649999999999999</v>
      </c>
      <c r="N18" s="9">
        <v>0.14149999999999999</v>
      </c>
    </row>
    <row r="19" spans="2:14" x14ac:dyDescent="0.3">
      <c r="B19" s="19"/>
      <c r="C19" s="4"/>
      <c r="D19" s="4"/>
      <c r="E19" s="7" t="s">
        <v>36</v>
      </c>
      <c r="F19" s="9">
        <v>0.14299999999999999</v>
      </c>
      <c r="G19" s="9">
        <v>0.14799999999999999</v>
      </c>
      <c r="H19" s="9">
        <v>0.15049999999999999</v>
      </c>
      <c r="I19" s="9">
        <v>0.1545</v>
      </c>
      <c r="J19" s="9">
        <v>0.159</v>
      </c>
      <c r="K19" s="9">
        <v>0.1535</v>
      </c>
      <c r="L19" s="9">
        <v>0.15</v>
      </c>
      <c r="M19" s="9">
        <v>0.14099999999999999</v>
      </c>
      <c r="N19" s="9">
        <v>0.13600000000000001</v>
      </c>
    </row>
    <row r="20" spans="2:14" x14ac:dyDescent="0.3">
      <c r="B20" s="19"/>
      <c r="C20" s="4"/>
      <c r="D20" s="4"/>
      <c r="E20" s="7" t="s">
        <v>37</v>
      </c>
      <c r="F20" s="9">
        <v>0.154</v>
      </c>
      <c r="G20" s="9">
        <v>0.156</v>
      </c>
      <c r="H20" s="9">
        <v>0.153</v>
      </c>
      <c r="I20" s="9">
        <v>0.1545</v>
      </c>
      <c r="J20" s="9">
        <v>0.156</v>
      </c>
      <c r="K20" s="9">
        <v>0.15</v>
      </c>
      <c r="L20" s="9">
        <v>0.14599999999999999</v>
      </c>
      <c r="M20" s="9">
        <v>0.13600000000000001</v>
      </c>
      <c r="N20" s="9">
        <v>0.13100000000000001</v>
      </c>
    </row>
    <row r="21" spans="2:14" x14ac:dyDescent="0.3">
      <c r="B21" s="19"/>
      <c r="C21" s="4"/>
      <c r="D21" s="4"/>
      <c r="E21" s="7" t="s">
        <v>38</v>
      </c>
      <c r="F21" s="9">
        <v>0.16350000000000001</v>
      </c>
      <c r="G21" s="9">
        <v>0.1585</v>
      </c>
      <c r="H21" s="9">
        <v>0.1555</v>
      </c>
      <c r="I21" s="9">
        <v>0.153</v>
      </c>
      <c r="J21" s="9">
        <v>0.15049999999999999</v>
      </c>
      <c r="K21" s="9">
        <v>0.14599999999999999</v>
      </c>
      <c r="L21" s="9">
        <v>0.14299999999999999</v>
      </c>
      <c r="M21" s="9">
        <v>0.13400000000000001</v>
      </c>
      <c r="N21" s="9">
        <v>0.129</v>
      </c>
    </row>
    <row r="22" spans="2:14" x14ac:dyDescent="0.3">
      <c r="B22" s="19"/>
      <c r="C22" s="4"/>
      <c r="D22" s="4"/>
      <c r="E22" s="7" t="s">
        <v>39</v>
      </c>
      <c r="F22" s="9">
        <v>0.161</v>
      </c>
      <c r="G22" s="9">
        <v>0.1575</v>
      </c>
      <c r="H22" s="9">
        <v>0.1535</v>
      </c>
      <c r="I22" s="9">
        <v>0.15</v>
      </c>
      <c r="J22" s="9">
        <v>0.14699999999999999</v>
      </c>
      <c r="K22" s="9">
        <v>0.14399999999999999</v>
      </c>
      <c r="L22" s="9">
        <v>0.14199999999999999</v>
      </c>
      <c r="M22" s="9">
        <v>0.13300000000000001</v>
      </c>
      <c r="N22" s="9">
        <v>0.126</v>
      </c>
    </row>
    <row r="23" spans="2:14" x14ac:dyDescent="0.3">
      <c r="B23" s="19"/>
      <c r="C23" s="4"/>
      <c r="D23" s="4"/>
      <c r="E23" s="7" t="s">
        <v>40</v>
      </c>
      <c r="F23" s="9">
        <v>0.16350000000000001</v>
      </c>
      <c r="G23" s="9">
        <v>0.1565</v>
      </c>
      <c r="H23" s="9">
        <v>0.153</v>
      </c>
      <c r="I23" s="9">
        <v>0.14949999999999999</v>
      </c>
      <c r="J23" s="9">
        <v>0.14599999999999999</v>
      </c>
      <c r="K23" s="9">
        <v>0.14399999999999999</v>
      </c>
      <c r="L23" s="9">
        <v>0.14299999999999999</v>
      </c>
      <c r="M23" s="9">
        <v>0.13300000000000001</v>
      </c>
      <c r="N23" s="9">
        <v>0.127</v>
      </c>
    </row>
    <row r="24" spans="2:14" x14ac:dyDescent="0.3">
      <c r="B24" s="19"/>
      <c r="C24" s="4"/>
      <c r="D24" s="4"/>
      <c r="E24" s="7" t="s">
        <v>41</v>
      </c>
      <c r="F24" s="9">
        <v>0.151</v>
      </c>
      <c r="G24" s="9">
        <v>0.14949999999999999</v>
      </c>
      <c r="H24" s="9">
        <v>0.14799999999999999</v>
      </c>
      <c r="I24" s="9">
        <v>0.14549999999999999</v>
      </c>
      <c r="J24" s="9">
        <v>0.14199999999999999</v>
      </c>
      <c r="K24" s="9">
        <v>0.14099999999999999</v>
      </c>
      <c r="L24" s="9">
        <v>0.13800000000000001</v>
      </c>
      <c r="M24" s="9">
        <v>0.128</v>
      </c>
      <c r="N24" s="9">
        <v>0.124</v>
      </c>
    </row>
    <row r="25" spans="2:14" x14ac:dyDescent="0.3">
      <c r="B25" s="19"/>
      <c r="C25" s="4"/>
      <c r="D25" s="4"/>
      <c r="E25" s="7" t="s">
        <v>42</v>
      </c>
      <c r="F25" s="9">
        <v>0.152</v>
      </c>
      <c r="G25" s="9">
        <v>0.15049999999999999</v>
      </c>
      <c r="H25" s="9">
        <v>0.14799999999999999</v>
      </c>
      <c r="I25" s="9">
        <v>0.14549999999999999</v>
      </c>
      <c r="J25" s="9">
        <v>0.14299999999999999</v>
      </c>
      <c r="K25" s="9">
        <v>0.14000000000000001</v>
      </c>
      <c r="L25" s="9">
        <v>0.13200000000000001</v>
      </c>
      <c r="M25" s="9">
        <v>0.125</v>
      </c>
      <c r="N25" s="9">
        <v>0.122</v>
      </c>
    </row>
    <row r="26" spans="2:14" x14ac:dyDescent="0.3">
      <c r="B26" s="19"/>
      <c r="C26" s="4"/>
      <c r="D26" s="4"/>
      <c r="E26" s="7" t="s">
        <v>43</v>
      </c>
      <c r="F26" s="9">
        <v>0.1525</v>
      </c>
      <c r="G26" s="9">
        <v>0.1515</v>
      </c>
      <c r="H26" s="9">
        <v>0.14799999999999999</v>
      </c>
      <c r="I26" s="9">
        <v>0.14149999999999999</v>
      </c>
      <c r="J26" s="9">
        <v>0.13700000000000001</v>
      </c>
      <c r="K26" s="9">
        <v>0.13100000000000001</v>
      </c>
      <c r="L26" s="9">
        <v>0.128</v>
      </c>
      <c r="M26" s="9">
        <v>0.121</v>
      </c>
      <c r="N26" s="9">
        <v>0.12</v>
      </c>
    </row>
    <row r="27" spans="2:14" x14ac:dyDescent="0.3">
      <c r="B27" s="19"/>
      <c r="C27" s="4"/>
      <c r="D27" s="4"/>
      <c r="E27" s="7" t="s">
        <v>44</v>
      </c>
      <c r="F27" s="9">
        <v>0.14000000000000001</v>
      </c>
      <c r="G27" s="9">
        <v>0.13400000000000001</v>
      </c>
      <c r="H27" s="9">
        <v>0.128</v>
      </c>
      <c r="I27" s="9">
        <v>0.124</v>
      </c>
      <c r="J27" s="9">
        <v>0.122</v>
      </c>
      <c r="K27" s="9">
        <v>0.12</v>
      </c>
      <c r="L27" s="9">
        <v>0.122</v>
      </c>
      <c r="M27" s="9">
        <v>0.11700000000000001</v>
      </c>
      <c r="N27" s="9">
        <v>0.11799999999999999</v>
      </c>
    </row>
    <row r="28" spans="2:14" x14ac:dyDescent="0.3">
      <c r="B28" s="19"/>
      <c r="C28" s="4"/>
      <c r="D28" s="4"/>
      <c r="E28" s="7" t="s">
        <v>45</v>
      </c>
      <c r="F28" s="9">
        <v>0.129</v>
      </c>
      <c r="G28" s="9">
        <v>0.129</v>
      </c>
      <c r="H28" s="9">
        <v>0.127</v>
      </c>
      <c r="I28" s="9">
        <v>0.126</v>
      </c>
      <c r="J28" s="9">
        <v>0.124</v>
      </c>
      <c r="K28" s="9">
        <v>0.13100000000000001</v>
      </c>
      <c r="L28" s="9">
        <v>0.13400000000000001</v>
      </c>
      <c r="M28" s="9">
        <v>0.11700000000000001</v>
      </c>
      <c r="N28" s="9">
        <v>0.11799999999999999</v>
      </c>
    </row>
    <row r="30" spans="2:14" x14ac:dyDescent="0.3">
      <c r="B30" s="12" t="s">
        <v>56</v>
      </c>
    </row>
    <row r="31" spans="2:14" x14ac:dyDescent="0.3">
      <c r="B31" t="s">
        <v>63</v>
      </c>
      <c r="C31" t="s">
        <v>60</v>
      </c>
      <c r="F31" s="10">
        <v>1</v>
      </c>
      <c r="G31" s="10" t="s">
        <v>64</v>
      </c>
    </row>
    <row r="32" spans="2:14" x14ac:dyDescent="0.3">
      <c r="B32" t="s">
        <v>57</v>
      </c>
      <c r="C32" t="s">
        <v>61</v>
      </c>
      <c r="F32" s="16">
        <v>41741</v>
      </c>
      <c r="G32" s="6"/>
    </row>
    <row r="33" spans="2:17" x14ac:dyDescent="0.3">
      <c r="B33" t="s">
        <v>58</v>
      </c>
      <c r="C33" t="s">
        <v>62</v>
      </c>
      <c r="F33" s="16">
        <f>Q46</f>
        <v>42833</v>
      </c>
    </row>
    <row r="34" spans="2:17" s="4" customFormat="1" x14ac:dyDescent="0.3">
      <c r="B34" s="4" t="s">
        <v>73</v>
      </c>
      <c r="C34" s="4" t="s">
        <v>74</v>
      </c>
      <c r="F34" s="10" t="s">
        <v>91</v>
      </c>
      <c r="G34" s="4" t="str">
        <f>RIGHT(F34,3)</f>
        <v>365</v>
      </c>
    </row>
    <row r="36" spans="2:17" x14ac:dyDescent="0.3">
      <c r="B36" s="3" t="s">
        <v>101</v>
      </c>
      <c r="F36" s="4">
        <f>COUNT(F39:XFD39)</f>
        <v>1</v>
      </c>
      <c r="G36" s="7" t="s">
        <v>105</v>
      </c>
      <c r="H36" s="7" t="s">
        <v>106</v>
      </c>
    </row>
    <row r="37" spans="2:17" x14ac:dyDescent="0.3">
      <c r="B37" s="11" t="s">
        <v>65</v>
      </c>
      <c r="C37" t="s">
        <v>107</v>
      </c>
      <c r="D37" t="s">
        <v>98</v>
      </c>
      <c r="G37" s="10" t="s">
        <v>99</v>
      </c>
      <c r="H37" s="10"/>
    </row>
    <row r="38" spans="2:17" x14ac:dyDescent="0.3">
      <c r="B38" s="11" t="s">
        <v>66</v>
      </c>
      <c r="C38" t="s">
        <v>102</v>
      </c>
      <c r="D38" t="s">
        <v>67</v>
      </c>
      <c r="G38" s="10" t="s">
        <v>69</v>
      </c>
      <c r="H38" s="10"/>
    </row>
    <row r="39" spans="2:17" s="4" customFormat="1" x14ac:dyDescent="0.3">
      <c r="B39" s="11" t="s">
        <v>100</v>
      </c>
      <c r="C39" s="4" t="s">
        <v>103</v>
      </c>
      <c r="G39" s="10">
        <v>0.25</v>
      </c>
      <c r="H39" s="10"/>
    </row>
    <row r="40" spans="2:17" x14ac:dyDescent="0.3">
      <c r="B40" s="11" t="s">
        <v>68</v>
      </c>
      <c r="C40" t="s">
        <v>104</v>
      </c>
      <c r="G40" s="10" t="s">
        <v>70</v>
      </c>
      <c r="H40" s="10"/>
    </row>
    <row r="42" spans="2:17" x14ac:dyDescent="0.3">
      <c r="B42" s="3" t="s">
        <v>71</v>
      </c>
    </row>
    <row r="43" spans="2:17" s="4" customFormat="1" x14ac:dyDescent="0.3">
      <c r="B43" s="13" t="s">
        <v>75</v>
      </c>
      <c r="C43" s="4" t="s">
        <v>76</v>
      </c>
      <c r="F43" s="4">
        <f>COUNT(F45:XFD45)</f>
        <v>12</v>
      </c>
    </row>
    <row r="44" spans="2:17" x14ac:dyDescent="0.3">
      <c r="B44" s="11" t="s">
        <v>72</v>
      </c>
      <c r="F44">
        <v>0.25</v>
      </c>
      <c r="G44">
        <f>ROUND(F44*G34,0)</f>
        <v>91</v>
      </c>
    </row>
    <row r="45" spans="2:17" s="4" customFormat="1" x14ac:dyDescent="0.3">
      <c r="B45" s="11" t="s">
        <v>78</v>
      </c>
      <c r="F45" s="1">
        <f>F32</f>
        <v>41741</v>
      </c>
      <c r="G45" s="1">
        <f>F45+$G$44</f>
        <v>41832</v>
      </c>
      <c r="H45" s="1">
        <f t="shared" ref="H45:Q45" si="0">G45+$G$44</f>
        <v>41923</v>
      </c>
      <c r="I45" s="1">
        <f t="shared" si="0"/>
        <v>42014</v>
      </c>
      <c r="J45" s="1">
        <f t="shared" si="0"/>
        <v>42105</v>
      </c>
      <c r="K45" s="1">
        <f t="shared" si="0"/>
        <v>42196</v>
      </c>
      <c r="L45" s="1">
        <f t="shared" si="0"/>
        <v>42287</v>
      </c>
      <c r="M45" s="1">
        <f t="shared" si="0"/>
        <v>42378</v>
      </c>
      <c r="N45" s="1">
        <f t="shared" si="0"/>
        <v>42469</v>
      </c>
      <c r="O45" s="1">
        <f t="shared" si="0"/>
        <v>42560</v>
      </c>
      <c r="P45" s="1">
        <f t="shared" si="0"/>
        <v>42651</v>
      </c>
      <c r="Q45" s="1">
        <f t="shared" si="0"/>
        <v>42742</v>
      </c>
    </row>
    <row r="46" spans="2:17" x14ac:dyDescent="0.3">
      <c r="B46" s="11" t="s">
        <v>79</v>
      </c>
      <c r="C46" t="s">
        <v>77</v>
      </c>
      <c r="F46" s="1">
        <f>F45+$G$44</f>
        <v>41832</v>
      </c>
      <c r="G46" s="1">
        <f t="shared" ref="G46:Q46" si="1">G45+$G$44</f>
        <v>41923</v>
      </c>
      <c r="H46" s="1">
        <f t="shared" si="1"/>
        <v>42014</v>
      </c>
      <c r="I46" s="1">
        <f t="shared" si="1"/>
        <v>42105</v>
      </c>
      <c r="J46" s="1">
        <f t="shared" si="1"/>
        <v>42196</v>
      </c>
      <c r="K46" s="1">
        <f t="shared" si="1"/>
        <v>42287</v>
      </c>
      <c r="L46" s="1">
        <f t="shared" si="1"/>
        <v>42378</v>
      </c>
      <c r="M46" s="1">
        <f t="shared" si="1"/>
        <v>42469</v>
      </c>
      <c r="N46" s="1">
        <f t="shared" si="1"/>
        <v>42560</v>
      </c>
      <c r="O46" s="1">
        <f t="shared" si="1"/>
        <v>42651</v>
      </c>
      <c r="P46" s="1">
        <f t="shared" si="1"/>
        <v>42742</v>
      </c>
      <c r="Q46" s="1">
        <f t="shared" si="1"/>
        <v>42833</v>
      </c>
    </row>
    <row r="47" spans="2:17" x14ac:dyDescent="0.3">
      <c r="B47" s="11" t="s">
        <v>80</v>
      </c>
      <c r="C47" t="s">
        <v>81</v>
      </c>
      <c r="F47" s="14">
        <v>0.04</v>
      </c>
      <c r="G47" s="14">
        <v>0.04</v>
      </c>
      <c r="H47" s="14">
        <v>0.04</v>
      </c>
      <c r="I47" s="14">
        <v>0.04</v>
      </c>
      <c r="J47" s="14">
        <v>0.04</v>
      </c>
      <c r="K47" s="14">
        <v>0.04</v>
      </c>
      <c r="L47" s="14">
        <v>0.04</v>
      </c>
      <c r="M47" s="14">
        <v>0.04</v>
      </c>
      <c r="N47" s="14">
        <v>0.04</v>
      </c>
      <c r="O47" s="14">
        <v>0.04</v>
      </c>
      <c r="P47" s="14">
        <v>0.04</v>
      </c>
      <c r="Q47" s="14">
        <v>0.04</v>
      </c>
    </row>
    <row r="48" spans="2:17" x14ac:dyDescent="0.3">
      <c r="B48" s="11" t="s">
        <v>82</v>
      </c>
      <c r="C48" t="s">
        <v>83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</row>
    <row r="49" spans="2:17" x14ac:dyDescent="0.3">
      <c r="B49" s="11" t="s">
        <v>84</v>
      </c>
      <c r="C49" t="s">
        <v>86</v>
      </c>
      <c r="F49" s="14">
        <v>4.3999999999999997E-2</v>
      </c>
      <c r="G49" s="14">
        <v>4.3999999999999997E-2</v>
      </c>
      <c r="H49" s="14">
        <v>4.3999999999999997E-2</v>
      </c>
      <c r="I49" s="14">
        <v>4.3999999999999997E-2</v>
      </c>
      <c r="J49" s="14">
        <v>4.3999999999999997E-2</v>
      </c>
      <c r="K49" s="14">
        <v>4.3999999999999997E-2</v>
      </c>
      <c r="L49" s="14">
        <v>4.3999999999999997E-2</v>
      </c>
      <c r="M49" s="14">
        <v>4.3999999999999997E-2</v>
      </c>
      <c r="N49" s="14">
        <v>4.3999999999999997E-2</v>
      </c>
      <c r="O49" s="14">
        <v>4.3999999999999997E-2</v>
      </c>
      <c r="P49" s="14">
        <v>4.3999999999999997E-2</v>
      </c>
      <c r="Q49" s="14">
        <v>4.3999999999999997E-2</v>
      </c>
    </row>
    <row r="50" spans="2:17" x14ac:dyDescent="0.3">
      <c r="B50" s="11" t="s">
        <v>85</v>
      </c>
      <c r="C50" t="s">
        <v>87</v>
      </c>
      <c r="F50" s="14">
        <v>2.3E-2</v>
      </c>
      <c r="G50" s="14">
        <v>2.3E-2</v>
      </c>
      <c r="H50" s="14">
        <v>2.3E-2</v>
      </c>
      <c r="I50" s="14">
        <v>2.3E-2</v>
      </c>
      <c r="J50" s="14">
        <v>2.3E-2</v>
      </c>
      <c r="K50" s="14">
        <v>2.3E-2</v>
      </c>
      <c r="L50" s="14">
        <v>2.3E-2</v>
      </c>
      <c r="M50" s="14">
        <v>2.3E-2</v>
      </c>
      <c r="N50" s="14">
        <v>2.3E-2</v>
      </c>
      <c r="O50" s="14">
        <v>2.3E-2</v>
      </c>
      <c r="P50" s="14">
        <v>2.3E-2</v>
      </c>
      <c r="Q50" s="14">
        <v>2.3E-2</v>
      </c>
    </row>
    <row r="52" spans="2:17" x14ac:dyDescent="0.3">
      <c r="B52" s="3" t="s">
        <v>88</v>
      </c>
    </row>
    <row r="53" spans="2:17" x14ac:dyDescent="0.3">
      <c r="B53" s="11" t="s">
        <v>89</v>
      </c>
      <c r="C53" t="s">
        <v>90</v>
      </c>
      <c r="F53" s="10" t="b">
        <v>0</v>
      </c>
      <c r="G53" s="10" t="b">
        <v>1</v>
      </c>
      <c r="H53" s="10" t="b">
        <v>1</v>
      </c>
      <c r="I53" s="10" t="b">
        <v>1</v>
      </c>
      <c r="J53" s="10" t="b">
        <v>1</v>
      </c>
      <c r="K53" s="10" t="b">
        <v>1</v>
      </c>
      <c r="L53" s="10" t="b">
        <v>1</v>
      </c>
      <c r="M53" s="10" t="b">
        <v>1</v>
      </c>
      <c r="N53" s="10" t="b">
        <v>1</v>
      </c>
      <c r="O53" s="10" t="b">
        <v>1</v>
      </c>
      <c r="P53" s="10" t="b">
        <v>1</v>
      </c>
      <c r="Q53" s="10" t="b">
        <v>0</v>
      </c>
    </row>
    <row r="55" spans="2:17" x14ac:dyDescent="0.3">
      <c r="B55" s="12" t="s">
        <v>93</v>
      </c>
    </row>
    <row r="56" spans="2:17" x14ac:dyDescent="0.3">
      <c r="B56" t="s">
        <v>94</v>
      </c>
      <c r="C56" t="s">
        <v>95</v>
      </c>
      <c r="F56" s="10">
        <v>30</v>
      </c>
    </row>
    <row r="57" spans="2:17" x14ac:dyDescent="0.3">
      <c r="B57" t="s">
        <v>96</v>
      </c>
      <c r="C57" t="s">
        <v>97</v>
      </c>
      <c r="F57" s="10">
        <v>1000</v>
      </c>
    </row>
  </sheetData>
  <mergeCells count="2">
    <mergeCell ref="B5:B9"/>
    <mergeCell ref="B12:B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30"/>
  <sheetViews>
    <sheetView workbookViewId="0">
      <selection activeCell="E11" sqref="E11"/>
    </sheetView>
  </sheetViews>
  <sheetFormatPr defaultRowHeight="16.5" x14ac:dyDescent="0.3"/>
  <cols>
    <col min="2" max="2" width="9.5" style="4" bestFit="1" customWidth="1"/>
    <col min="3" max="3" width="11.875" bestFit="1" customWidth="1"/>
  </cols>
  <sheetData>
    <row r="2" spans="2:6" x14ac:dyDescent="0.3">
      <c r="B2" s="4" t="s">
        <v>125</v>
      </c>
      <c r="C2" t="s">
        <v>132</v>
      </c>
      <c r="D2" t="s">
        <v>108</v>
      </c>
      <c r="E2" t="s">
        <v>109</v>
      </c>
      <c r="F2" t="s">
        <v>127</v>
      </c>
    </row>
    <row r="3" spans="2:6" x14ac:dyDescent="0.3">
      <c r="B3" s="4">
        <v>20141009</v>
      </c>
      <c r="C3" t="s">
        <v>124</v>
      </c>
      <c r="D3" t="s">
        <v>110</v>
      </c>
      <c r="E3">
        <v>2.4899999999999999E-2</v>
      </c>
      <c r="F3" t="s">
        <v>128</v>
      </c>
    </row>
    <row r="4" spans="2:6" x14ac:dyDescent="0.3">
      <c r="B4" s="4">
        <v>20141009</v>
      </c>
      <c r="C4" s="4" t="s">
        <v>124</v>
      </c>
      <c r="D4" t="s">
        <v>111</v>
      </c>
      <c r="E4">
        <v>2.6499999999999999E-2</v>
      </c>
      <c r="F4" t="s">
        <v>128</v>
      </c>
    </row>
    <row r="5" spans="2:6" x14ac:dyDescent="0.3">
      <c r="B5" s="4">
        <v>20141009</v>
      </c>
      <c r="C5" s="4" t="s">
        <v>124</v>
      </c>
      <c r="D5" t="s">
        <v>112</v>
      </c>
      <c r="E5">
        <v>2.6550000000000001E-2</v>
      </c>
      <c r="F5" t="s">
        <v>128</v>
      </c>
    </row>
    <row r="6" spans="2:6" x14ac:dyDescent="0.3">
      <c r="B6" s="4">
        <v>20141009</v>
      </c>
      <c r="C6" s="4" t="s">
        <v>124</v>
      </c>
      <c r="D6" t="s">
        <v>113</v>
      </c>
      <c r="E6">
        <v>2.665E-2</v>
      </c>
      <c r="F6" t="s">
        <v>128</v>
      </c>
    </row>
    <row r="7" spans="2:6" x14ac:dyDescent="0.3">
      <c r="B7" s="4">
        <v>20141009</v>
      </c>
      <c r="C7" s="4" t="s">
        <v>124</v>
      </c>
      <c r="D7" t="s">
        <v>114</v>
      </c>
      <c r="E7">
        <v>2.6800000000000001E-2</v>
      </c>
      <c r="F7" t="s">
        <v>129</v>
      </c>
    </row>
    <row r="8" spans="2:6" x14ac:dyDescent="0.3">
      <c r="B8" s="4">
        <v>20141009</v>
      </c>
      <c r="C8" s="4" t="s">
        <v>124</v>
      </c>
      <c r="D8" t="s">
        <v>115</v>
      </c>
      <c r="E8">
        <v>2.785E-2</v>
      </c>
      <c r="F8" t="s">
        <v>129</v>
      </c>
    </row>
    <row r="9" spans="2:6" x14ac:dyDescent="0.3">
      <c r="B9" s="4">
        <v>20141009</v>
      </c>
      <c r="C9" s="4" t="s">
        <v>124</v>
      </c>
      <c r="D9" t="s">
        <v>116</v>
      </c>
      <c r="E9">
        <v>2.8930000000000001E-2</v>
      </c>
      <c r="F9" t="s">
        <v>129</v>
      </c>
    </row>
    <row r="10" spans="2:6" x14ac:dyDescent="0.3">
      <c r="B10" s="4">
        <v>20141009</v>
      </c>
      <c r="C10" s="4" t="s">
        <v>124</v>
      </c>
      <c r="D10" t="s">
        <v>117</v>
      </c>
      <c r="E10">
        <v>2.9899999999999999E-2</v>
      </c>
      <c r="F10" t="s">
        <v>129</v>
      </c>
    </row>
    <row r="11" spans="2:6" x14ac:dyDescent="0.3">
      <c r="B11" s="4">
        <v>20141009</v>
      </c>
      <c r="C11" s="4" t="s">
        <v>124</v>
      </c>
      <c r="D11" t="s">
        <v>118</v>
      </c>
      <c r="E11">
        <v>3.0779999999999998E-2</v>
      </c>
      <c r="F11" t="s">
        <v>129</v>
      </c>
    </row>
    <row r="12" spans="2:6" x14ac:dyDescent="0.3">
      <c r="B12" s="4">
        <v>20141009</v>
      </c>
      <c r="C12" s="4" t="s">
        <v>124</v>
      </c>
      <c r="D12" t="s">
        <v>119</v>
      </c>
      <c r="E12">
        <v>3.2030000000000003E-2</v>
      </c>
      <c r="F12" t="s">
        <v>129</v>
      </c>
    </row>
    <row r="13" spans="2:6" x14ac:dyDescent="0.3">
      <c r="B13" s="4">
        <v>20141009</v>
      </c>
      <c r="C13" s="4" t="s">
        <v>124</v>
      </c>
      <c r="D13" t="s">
        <v>120</v>
      </c>
      <c r="E13">
        <v>3.3279999999999997E-2</v>
      </c>
      <c r="F13" t="s">
        <v>129</v>
      </c>
    </row>
    <row r="14" spans="2:6" x14ac:dyDescent="0.3">
      <c r="B14" s="4">
        <v>20141009</v>
      </c>
      <c r="C14" s="4" t="s">
        <v>124</v>
      </c>
      <c r="D14" t="s">
        <v>121</v>
      </c>
      <c r="E14">
        <v>3.363E-2</v>
      </c>
      <c r="F14" t="s">
        <v>129</v>
      </c>
    </row>
    <row r="15" spans="2:6" x14ac:dyDescent="0.3">
      <c r="B15" s="4">
        <v>20141009</v>
      </c>
      <c r="C15" s="4" t="s">
        <v>124</v>
      </c>
      <c r="D15" t="s">
        <v>122</v>
      </c>
      <c r="E15">
        <v>3.39E-2</v>
      </c>
      <c r="F15" t="s">
        <v>129</v>
      </c>
    </row>
    <row r="16" spans="2:6" x14ac:dyDescent="0.3">
      <c r="B16" s="4">
        <v>20141009</v>
      </c>
      <c r="C16" s="4" t="s">
        <v>124</v>
      </c>
      <c r="D16" t="s">
        <v>123</v>
      </c>
      <c r="E16">
        <v>3.5099999999999999E-2</v>
      </c>
      <c r="F16" t="s">
        <v>129</v>
      </c>
    </row>
    <row r="17" spans="2:6" x14ac:dyDescent="0.3">
      <c r="B17" s="4">
        <v>20141009</v>
      </c>
      <c r="C17" t="s">
        <v>126</v>
      </c>
      <c r="D17" s="4" t="s">
        <v>110</v>
      </c>
      <c r="E17">
        <v>2.4899999999999999E-2</v>
      </c>
      <c r="F17" s="4" t="s">
        <v>128</v>
      </c>
    </row>
    <row r="18" spans="2:6" x14ac:dyDescent="0.3">
      <c r="B18" s="4">
        <v>20141009</v>
      </c>
      <c r="C18" s="4" t="s">
        <v>126</v>
      </c>
      <c r="D18" s="4" t="s">
        <v>111</v>
      </c>
      <c r="E18">
        <v>2.8889999999999999E-2</v>
      </c>
      <c r="F18" s="4" t="s">
        <v>128</v>
      </c>
    </row>
    <row r="19" spans="2:6" x14ac:dyDescent="0.3">
      <c r="B19" s="4">
        <v>20141009</v>
      </c>
      <c r="C19" s="4" t="s">
        <v>126</v>
      </c>
      <c r="D19" s="4" t="s">
        <v>112</v>
      </c>
      <c r="E19">
        <v>2.9590000000000002E-2</v>
      </c>
      <c r="F19" s="4" t="s">
        <v>128</v>
      </c>
    </row>
    <row r="20" spans="2:6" x14ac:dyDescent="0.3">
      <c r="B20" s="4">
        <v>20141009</v>
      </c>
      <c r="C20" s="4" t="s">
        <v>126</v>
      </c>
      <c r="D20" s="4" t="s">
        <v>113</v>
      </c>
      <c r="E20">
        <v>3.014E-2</v>
      </c>
      <c r="F20" s="4" t="s">
        <v>128</v>
      </c>
    </row>
    <row r="21" spans="2:6" x14ac:dyDescent="0.3">
      <c r="B21" s="4">
        <v>20141009</v>
      </c>
      <c r="C21" s="4" t="s">
        <v>126</v>
      </c>
      <c r="D21" s="4" t="s">
        <v>114</v>
      </c>
      <c r="E21">
        <v>3.0509999999999999E-2</v>
      </c>
      <c r="F21" s="4" t="s">
        <v>129</v>
      </c>
    </row>
    <row r="22" spans="2:6" x14ac:dyDescent="0.3">
      <c r="B22" s="4">
        <v>20141009</v>
      </c>
      <c r="C22" s="4" t="s">
        <v>126</v>
      </c>
      <c r="D22" s="4" t="s">
        <v>115</v>
      </c>
      <c r="E22">
        <v>3.2539999999999999E-2</v>
      </c>
      <c r="F22" s="4" t="s">
        <v>129</v>
      </c>
    </row>
    <row r="23" spans="2:6" x14ac:dyDescent="0.3">
      <c r="B23" s="4">
        <v>20141009</v>
      </c>
      <c r="C23" s="4" t="s">
        <v>126</v>
      </c>
      <c r="D23" s="4" t="s">
        <v>116</v>
      </c>
      <c r="E23">
        <v>3.5040000000000002E-2</v>
      </c>
      <c r="F23" s="4" t="s">
        <v>129</v>
      </c>
    </row>
    <row r="24" spans="2:6" x14ac:dyDescent="0.3">
      <c r="B24" s="4">
        <v>20141009</v>
      </c>
      <c r="C24" s="4" t="s">
        <v>126</v>
      </c>
      <c r="D24" s="4" t="s">
        <v>117</v>
      </c>
      <c r="E24">
        <v>3.6159999999999998E-2</v>
      </c>
      <c r="F24" s="4" t="s">
        <v>129</v>
      </c>
    </row>
    <row r="25" spans="2:6" x14ac:dyDescent="0.3">
      <c r="B25" s="4">
        <v>20141009</v>
      </c>
      <c r="C25" s="4" t="s">
        <v>126</v>
      </c>
      <c r="D25" s="4" t="s">
        <v>118</v>
      </c>
      <c r="E25">
        <v>3.857E-2</v>
      </c>
      <c r="F25" s="4" t="s">
        <v>129</v>
      </c>
    </row>
    <row r="26" spans="2:6" x14ac:dyDescent="0.3">
      <c r="B26" s="4">
        <v>20141009</v>
      </c>
      <c r="C26" s="4" t="s">
        <v>126</v>
      </c>
      <c r="D26" s="4" t="s">
        <v>119</v>
      </c>
      <c r="E26">
        <v>4.1410000000000002E-2</v>
      </c>
      <c r="F26" s="4" t="s">
        <v>129</v>
      </c>
    </row>
    <row r="27" spans="2:6" x14ac:dyDescent="0.3">
      <c r="B27" s="4">
        <v>20141009</v>
      </c>
      <c r="C27" s="4" t="s">
        <v>126</v>
      </c>
      <c r="D27" s="4" t="s">
        <v>120</v>
      </c>
      <c r="E27">
        <v>4.4630000000000003E-2</v>
      </c>
      <c r="F27" s="4" t="s">
        <v>129</v>
      </c>
    </row>
    <row r="28" spans="2:6" x14ac:dyDescent="0.3">
      <c r="B28" s="4">
        <v>20141009</v>
      </c>
      <c r="C28" s="4" t="s">
        <v>126</v>
      </c>
      <c r="D28" s="4" t="s">
        <v>121</v>
      </c>
      <c r="E28">
        <v>4.5990000000000003E-2</v>
      </c>
      <c r="F28" s="4" t="s">
        <v>129</v>
      </c>
    </row>
    <row r="29" spans="2:6" x14ac:dyDescent="0.3">
      <c r="B29" s="4">
        <v>20141009</v>
      </c>
      <c r="C29" s="4" t="s">
        <v>126</v>
      </c>
      <c r="D29" s="4" t="s">
        <v>122</v>
      </c>
      <c r="E29">
        <v>4.8030000000000003E-2</v>
      </c>
      <c r="F29" s="4" t="s">
        <v>129</v>
      </c>
    </row>
    <row r="30" spans="2:6" x14ac:dyDescent="0.3">
      <c r="B30" s="4">
        <v>20141009</v>
      </c>
      <c r="C30" s="4" t="s">
        <v>126</v>
      </c>
      <c r="D30" s="4" t="s">
        <v>123</v>
      </c>
      <c r="E30">
        <v>4.922E-2</v>
      </c>
      <c r="F30" s="4" t="s">
        <v>129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46"/>
  <sheetViews>
    <sheetView workbookViewId="0">
      <selection activeCell="E12" sqref="E12"/>
    </sheetView>
  </sheetViews>
  <sheetFormatPr defaultRowHeight="16.5" x14ac:dyDescent="0.3"/>
  <cols>
    <col min="2" max="2" width="9.5" bestFit="1" customWidth="1"/>
    <col min="3" max="3" width="13.75" bestFit="1" customWidth="1"/>
  </cols>
  <sheetData>
    <row r="2" spans="2:6" x14ac:dyDescent="0.3">
      <c r="B2" t="s">
        <v>130</v>
      </c>
      <c r="C2" t="s">
        <v>131</v>
      </c>
      <c r="D2" t="s">
        <v>136</v>
      </c>
      <c r="E2" t="s">
        <v>133</v>
      </c>
      <c r="F2" t="s">
        <v>134</v>
      </c>
    </row>
    <row r="3" spans="2:6" x14ac:dyDescent="0.3">
      <c r="B3">
        <v>20141009</v>
      </c>
      <c r="C3" t="s">
        <v>135</v>
      </c>
      <c r="D3" t="s">
        <v>31</v>
      </c>
      <c r="E3" t="s">
        <v>114</v>
      </c>
      <c r="F3">
        <v>0.109</v>
      </c>
    </row>
    <row r="4" spans="2:6" x14ac:dyDescent="0.3">
      <c r="B4" s="4">
        <v>20141009</v>
      </c>
      <c r="C4" s="4" t="s">
        <v>135</v>
      </c>
      <c r="D4" s="4" t="s">
        <v>31</v>
      </c>
      <c r="E4" t="s">
        <v>115</v>
      </c>
      <c r="F4">
        <v>0.13300000000000001</v>
      </c>
    </row>
    <row r="5" spans="2:6" x14ac:dyDescent="0.3">
      <c r="B5" s="4">
        <v>20141009</v>
      </c>
      <c r="C5" s="4" t="s">
        <v>135</v>
      </c>
      <c r="D5" s="4" t="s">
        <v>31</v>
      </c>
      <c r="E5" t="s">
        <v>116</v>
      </c>
      <c r="F5">
        <v>0.14000000000000001</v>
      </c>
    </row>
    <row r="6" spans="2:6" x14ac:dyDescent="0.3">
      <c r="B6" s="4">
        <v>20141009</v>
      </c>
      <c r="C6" s="4" t="s">
        <v>135</v>
      </c>
      <c r="D6" s="4" t="s">
        <v>31</v>
      </c>
      <c r="E6" t="s">
        <v>117</v>
      </c>
      <c r="F6">
        <v>0.1525</v>
      </c>
    </row>
    <row r="7" spans="2:6" x14ac:dyDescent="0.3">
      <c r="B7" s="4">
        <v>20141009</v>
      </c>
      <c r="C7" s="4" t="s">
        <v>135</v>
      </c>
      <c r="D7" s="4" t="s">
        <v>31</v>
      </c>
      <c r="E7" t="s">
        <v>118</v>
      </c>
      <c r="F7">
        <v>0.16550000000000001</v>
      </c>
    </row>
    <row r="8" spans="2:6" x14ac:dyDescent="0.3">
      <c r="B8" s="4">
        <v>20141009</v>
      </c>
      <c r="C8" s="4" t="s">
        <v>135</v>
      </c>
      <c r="D8" s="4" t="s">
        <v>31</v>
      </c>
      <c r="E8" t="s">
        <v>119</v>
      </c>
      <c r="F8">
        <v>0.16950000000000001</v>
      </c>
    </row>
    <row r="9" spans="2:6" x14ac:dyDescent="0.3">
      <c r="B9" s="4">
        <v>20141009</v>
      </c>
      <c r="C9" s="4" t="s">
        <v>135</v>
      </c>
      <c r="D9" s="4" t="s">
        <v>31</v>
      </c>
      <c r="E9" t="s">
        <v>120</v>
      </c>
      <c r="F9">
        <v>0.17</v>
      </c>
    </row>
    <row r="10" spans="2:6" x14ac:dyDescent="0.3">
      <c r="B10" s="4">
        <v>20141009</v>
      </c>
      <c r="C10" s="4" t="s">
        <v>135</v>
      </c>
      <c r="D10" s="4" t="s">
        <v>31</v>
      </c>
      <c r="E10" t="s">
        <v>121</v>
      </c>
      <c r="F10">
        <v>0.16350000000000001</v>
      </c>
    </row>
    <row r="11" spans="2:6" x14ac:dyDescent="0.3">
      <c r="B11" s="4">
        <v>20141009</v>
      </c>
      <c r="C11" s="4" t="s">
        <v>135</v>
      </c>
      <c r="D11" s="4" t="s">
        <v>31</v>
      </c>
      <c r="E11" t="s">
        <v>122</v>
      </c>
      <c r="F11">
        <v>0.159</v>
      </c>
    </row>
    <row r="12" spans="2:6" x14ac:dyDescent="0.3">
      <c r="B12" s="4">
        <v>20141009</v>
      </c>
      <c r="C12" s="4" t="s">
        <v>135</v>
      </c>
      <c r="D12" t="s">
        <v>111</v>
      </c>
      <c r="E12" s="4" t="s">
        <v>114</v>
      </c>
      <c r="F12">
        <v>0.12</v>
      </c>
    </row>
    <row r="13" spans="2:6" x14ac:dyDescent="0.3">
      <c r="B13" s="4">
        <v>20141009</v>
      </c>
      <c r="C13" s="4" t="s">
        <v>135</v>
      </c>
      <c r="D13" s="4" t="s">
        <v>111</v>
      </c>
      <c r="E13" s="4" t="s">
        <v>115</v>
      </c>
      <c r="F13">
        <v>0.13150000000000001</v>
      </c>
    </row>
    <row r="14" spans="2:6" x14ac:dyDescent="0.3">
      <c r="B14" s="4">
        <v>20141009</v>
      </c>
      <c r="C14" s="4" t="s">
        <v>135</v>
      </c>
      <c r="D14" s="4" t="s">
        <v>111</v>
      </c>
      <c r="E14" s="4" t="s">
        <v>116</v>
      </c>
      <c r="F14">
        <v>0.14699999999999999</v>
      </c>
    </row>
    <row r="15" spans="2:6" x14ac:dyDescent="0.3">
      <c r="B15" s="4">
        <v>20141009</v>
      </c>
      <c r="C15" s="4" t="s">
        <v>135</v>
      </c>
      <c r="D15" s="4" t="s">
        <v>111</v>
      </c>
      <c r="E15" s="4" t="s">
        <v>117</v>
      </c>
      <c r="F15">
        <v>0.16</v>
      </c>
    </row>
    <row r="16" spans="2:6" x14ac:dyDescent="0.3">
      <c r="B16" s="4">
        <v>20141009</v>
      </c>
      <c r="C16" s="4" t="s">
        <v>135</v>
      </c>
      <c r="D16" s="4" t="s">
        <v>111</v>
      </c>
      <c r="E16" s="4" t="s">
        <v>118</v>
      </c>
      <c r="F16">
        <v>0.17399999999999999</v>
      </c>
    </row>
    <row r="17" spans="2:6" x14ac:dyDescent="0.3">
      <c r="B17" s="4">
        <v>20141009</v>
      </c>
      <c r="C17" s="4" t="s">
        <v>135</v>
      </c>
      <c r="D17" s="4" t="s">
        <v>111</v>
      </c>
      <c r="E17" s="4" t="s">
        <v>119</v>
      </c>
      <c r="F17">
        <v>0.16900000000000001</v>
      </c>
    </row>
    <row r="18" spans="2:6" x14ac:dyDescent="0.3">
      <c r="B18" s="4">
        <v>20141009</v>
      </c>
      <c r="C18" s="4" t="s">
        <v>135</v>
      </c>
      <c r="D18" s="4" t="s">
        <v>111</v>
      </c>
      <c r="E18" s="4" t="s">
        <v>120</v>
      </c>
      <c r="F18">
        <v>0.16500000000000001</v>
      </c>
    </row>
    <row r="19" spans="2:6" x14ac:dyDescent="0.3">
      <c r="B19" s="4">
        <v>20141009</v>
      </c>
      <c r="C19" s="4" t="s">
        <v>135</v>
      </c>
      <c r="D19" s="4" t="s">
        <v>111</v>
      </c>
      <c r="E19" s="4" t="s">
        <v>121</v>
      </c>
      <c r="F19">
        <v>0.16200000000000001</v>
      </c>
    </row>
    <row r="20" spans="2:6" x14ac:dyDescent="0.3">
      <c r="B20" s="4">
        <v>20141009</v>
      </c>
      <c r="C20" s="4" t="s">
        <v>135</v>
      </c>
      <c r="D20" s="4" t="s">
        <v>111</v>
      </c>
      <c r="E20" s="4" t="s">
        <v>122</v>
      </c>
      <c r="F20">
        <v>0.157</v>
      </c>
    </row>
    <row r="21" spans="2:6" x14ac:dyDescent="0.3">
      <c r="B21" s="4">
        <v>20141009</v>
      </c>
      <c r="C21" s="4" t="s">
        <v>135</v>
      </c>
      <c r="D21" t="s">
        <v>11</v>
      </c>
      <c r="E21" s="4" t="s">
        <v>114</v>
      </c>
      <c r="F21">
        <v>0.1305</v>
      </c>
    </row>
    <row r="22" spans="2:6" x14ac:dyDescent="0.3">
      <c r="B22" s="4">
        <v>20141009</v>
      </c>
      <c r="C22" s="4" t="s">
        <v>135</v>
      </c>
      <c r="D22" s="4" t="s">
        <v>11</v>
      </c>
      <c r="E22" s="4" t="s">
        <v>115</v>
      </c>
      <c r="F22">
        <v>0.13950000000000001</v>
      </c>
    </row>
    <row r="23" spans="2:6" x14ac:dyDescent="0.3">
      <c r="B23" s="4">
        <v>20141009</v>
      </c>
      <c r="C23" s="4" t="s">
        <v>135</v>
      </c>
      <c r="D23" s="4" t="s">
        <v>11</v>
      </c>
      <c r="E23" s="4" t="s">
        <v>116</v>
      </c>
      <c r="F23">
        <v>0.14899999999999999</v>
      </c>
    </row>
    <row r="24" spans="2:6" x14ac:dyDescent="0.3">
      <c r="B24" s="4">
        <v>20141009</v>
      </c>
      <c r="C24" s="4" t="s">
        <v>135</v>
      </c>
      <c r="D24" s="4" t="s">
        <v>11</v>
      </c>
      <c r="E24" s="4" t="s">
        <v>117</v>
      </c>
      <c r="F24">
        <v>0.158</v>
      </c>
    </row>
    <row r="25" spans="2:6" x14ac:dyDescent="0.3">
      <c r="B25" s="4">
        <v>20141009</v>
      </c>
      <c r="C25" s="4" t="s">
        <v>135</v>
      </c>
      <c r="D25" s="4" t="s">
        <v>11</v>
      </c>
      <c r="E25" s="4" t="s">
        <v>118</v>
      </c>
      <c r="F25">
        <v>0.16800000000000001</v>
      </c>
    </row>
    <row r="26" spans="2:6" x14ac:dyDescent="0.3">
      <c r="B26" s="4">
        <v>20141009</v>
      </c>
      <c r="C26" s="4" t="s">
        <v>135</v>
      </c>
      <c r="D26" s="4" t="s">
        <v>11</v>
      </c>
      <c r="E26" s="4" t="s">
        <v>119</v>
      </c>
      <c r="F26">
        <v>0.16500000000000001</v>
      </c>
    </row>
    <row r="27" spans="2:6" x14ac:dyDescent="0.3">
      <c r="B27" s="4">
        <v>20141009</v>
      </c>
      <c r="C27" s="4" t="s">
        <v>135</v>
      </c>
      <c r="D27" s="4" t="s">
        <v>11</v>
      </c>
      <c r="E27" s="4" t="s">
        <v>120</v>
      </c>
      <c r="F27">
        <v>0.16300000000000001</v>
      </c>
    </row>
    <row r="28" spans="2:6" x14ac:dyDescent="0.3">
      <c r="B28" s="4">
        <v>20141009</v>
      </c>
      <c r="C28" s="4" t="s">
        <v>135</v>
      </c>
      <c r="D28" s="4" t="s">
        <v>11</v>
      </c>
      <c r="E28" s="4" t="s">
        <v>121</v>
      </c>
      <c r="F28">
        <v>0.159</v>
      </c>
    </row>
    <row r="29" spans="2:6" x14ac:dyDescent="0.3">
      <c r="B29" s="4">
        <v>20141009</v>
      </c>
      <c r="C29" s="4" t="s">
        <v>135</v>
      </c>
      <c r="D29" s="4" t="s">
        <v>11</v>
      </c>
      <c r="E29" s="4" t="s">
        <v>122</v>
      </c>
      <c r="F29">
        <v>0.155</v>
      </c>
    </row>
    <row r="30" spans="2:6" x14ac:dyDescent="0.3">
      <c r="B30" s="4">
        <v>20141009</v>
      </c>
      <c r="C30" s="4" t="s">
        <v>135</v>
      </c>
      <c r="D30" t="s">
        <v>12</v>
      </c>
      <c r="E30" s="4" t="s">
        <v>114</v>
      </c>
      <c r="F30">
        <v>0.13350000000000001</v>
      </c>
    </row>
    <row r="31" spans="2:6" x14ac:dyDescent="0.3">
      <c r="B31" s="4">
        <v>20141009</v>
      </c>
      <c r="C31" s="4" t="s">
        <v>135</v>
      </c>
      <c r="D31" s="4" t="s">
        <v>12</v>
      </c>
      <c r="E31" s="4" t="s">
        <v>115</v>
      </c>
      <c r="F31">
        <v>0.14050000000000001</v>
      </c>
    </row>
    <row r="32" spans="2:6" x14ac:dyDescent="0.3">
      <c r="B32" s="4">
        <v>20141009</v>
      </c>
      <c r="C32" s="4" t="s">
        <v>135</v>
      </c>
      <c r="D32" s="4" t="s">
        <v>12</v>
      </c>
      <c r="E32" s="4" t="s">
        <v>116</v>
      </c>
      <c r="F32">
        <v>0.14899999999999999</v>
      </c>
    </row>
    <row r="33" spans="2:6" x14ac:dyDescent="0.3">
      <c r="B33" s="4">
        <v>20141009</v>
      </c>
      <c r="C33" s="4" t="s">
        <v>135</v>
      </c>
      <c r="D33" s="4" t="s">
        <v>12</v>
      </c>
      <c r="E33" s="4" t="s">
        <v>117</v>
      </c>
      <c r="F33">
        <v>0.157</v>
      </c>
    </row>
    <row r="34" spans="2:6" x14ac:dyDescent="0.3">
      <c r="B34" s="4">
        <v>20141009</v>
      </c>
      <c r="C34" s="4" t="s">
        <v>135</v>
      </c>
      <c r="D34" s="4" t="s">
        <v>12</v>
      </c>
      <c r="E34" s="4" t="s">
        <v>118</v>
      </c>
      <c r="F34">
        <v>0.16500000000000001</v>
      </c>
    </row>
    <row r="35" spans="2:6" x14ac:dyDescent="0.3">
      <c r="B35" s="4">
        <v>20141009</v>
      </c>
      <c r="C35" s="4" t="s">
        <v>135</v>
      </c>
      <c r="D35" s="4" t="s">
        <v>12</v>
      </c>
      <c r="E35" s="4" t="s">
        <v>119</v>
      </c>
      <c r="F35">
        <v>0.16</v>
      </c>
    </row>
    <row r="36" spans="2:6" x14ac:dyDescent="0.3">
      <c r="B36" s="4">
        <v>20141009</v>
      </c>
      <c r="C36" s="4" t="s">
        <v>135</v>
      </c>
      <c r="D36" s="4" t="s">
        <v>12</v>
      </c>
      <c r="E36" s="4" t="s">
        <v>120</v>
      </c>
      <c r="F36">
        <v>0.156</v>
      </c>
    </row>
    <row r="37" spans="2:6" x14ac:dyDescent="0.3">
      <c r="B37" s="4">
        <v>20141009</v>
      </c>
      <c r="C37" s="4" t="s">
        <v>135</v>
      </c>
      <c r="D37" s="4" t="s">
        <v>12</v>
      </c>
      <c r="E37" s="4" t="s">
        <v>121</v>
      </c>
      <c r="F37">
        <v>0.153</v>
      </c>
    </row>
    <row r="38" spans="2:6" x14ac:dyDescent="0.3">
      <c r="B38" s="4">
        <v>20141009</v>
      </c>
      <c r="C38" s="4" t="s">
        <v>135</v>
      </c>
      <c r="D38" s="4" t="s">
        <v>12</v>
      </c>
      <c r="E38" s="4" t="s">
        <v>122</v>
      </c>
      <c r="F38">
        <v>0.14799999999999999</v>
      </c>
    </row>
    <row r="39" spans="2:6" x14ac:dyDescent="0.3">
      <c r="B39" s="4">
        <v>20141009</v>
      </c>
      <c r="C39" s="4" t="s">
        <v>135</v>
      </c>
      <c r="D39" t="s">
        <v>13</v>
      </c>
      <c r="E39" s="4" t="s">
        <v>114</v>
      </c>
      <c r="F39">
        <v>0.13550000000000001</v>
      </c>
    </row>
    <row r="40" spans="2:6" x14ac:dyDescent="0.3">
      <c r="B40" s="4">
        <v>20141009</v>
      </c>
      <c r="C40" s="4" t="s">
        <v>135</v>
      </c>
      <c r="D40" s="4" t="s">
        <v>13</v>
      </c>
      <c r="E40" s="4" t="s">
        <v>115</v>
      </c>
      <c r="F40">
        <v>0.14149999999999999</v>
      </c>
    </row>
    <row r="41" spans="2:6" x14ac:dyDescent="0.3">
      <c r="B41" s="4">
        <v>20141009</v>
      </c>
      <c r="C41" s="4" t="s">
        <v>135</v>
      </c>
      <c r="D41" s="4" t="s">
        <v>13</v>
      </c>
      <c r="E41" s="4" t="s">
        <v>116</v>
      </c>
      <c r="F41">
        <v>0.14799999999999999</v>
      </c>
    </row>
    <row r="42" spans="2:6" x14ac:dyDescent="0.3">
      <c r="B42" s="4">
        <v>20141009</v>
      </c>
      <c r="C42" s="4" t="s">
        <v>135</v>
      </c>
      <c r="D42" s="4" t="s">
        <v>13</v>
      </c>
      <c r="E42" s="4" t="s">
        <v>117</v>
      </c>
      <c r="F42">
        <v>0.155</v>
      </c>
    </row>
    <row r="43" spans="2:6" x14ac:dyDescent="0.3">
      <c r="B43" s="4">
        <v>20141009</v>
      </c>
      <c r="C43" s="4" t="s">
        <v>135</v>
      </c>
      <c r="D43" s="4" t="s">
        <v>13</v>
      </c>
      <c r="E43" s="4" t="s">
        <v>118</v>
      </c>
      <c r="F43">
        <v>0.16300000000000001</v>
      </c>
    </row>
    <row r="44" spans="2:6" x14ac:dyDescent="0.3">
      <c r="B44" s="4">
        <v>20141009</v>
      </c>
      <c r="C44" s="4" t="s">
        <v>135</v>
      </c>
      <c r="D44" s="4" t="s">
        <v>13</v>
      </c>
      <c r="E44" s="4" t="s">
        <v>119</v>
      </c>
      <c r="F44">
        <v>0.159</v>
      </c>
    </row>
    <row r="45" spans="2:6" x14ac:dyDescent="0.3">
      <c r="B45" s="4">
        <v>20141009</v>
      </c>
      <c r="C45" s="4" t="s">
        <v>135</v>
      </c>
      <c r="D45" s="4" t="s">
        <v>13</v>
      </c>
      <c r="E45" s="4" t="s">
        <v>120</v>
      </c>
      <c r="F45">
        <v>0.1545</v>
      </c>
    </row>
    <row r="46" spans="2:6" x14ac:dyDescent="0.3">
      <c r="B46" s="4">
        <v>20141009</v>
      </c>
      <c r="C46" s="4" t="s">
        <v>135</v>
      </c>
      <c r="D46" s="4" t="s">
        <v>13</v>
      </c>
      <c r="E46" s="4" t="s">
        <v>121</v>
      </c>
      <c r="F46">
        <v>0.14649999999999999</v>
      </c>
    </row>
    <row r="47" spans="2:6" x14ac:dyDescent="0.3">
      <c r="B47" s="4">
        <v>20141009</v>
      </c>
      <c r="C47" s="4" t="s">
        <v>135</v>
      </c>
      <c r="D47" s="4" t="s">
        <v>13</v>
      </c>
      <c r="E47" s="4" t="s">
        <v>122</v>
      </c>
      <c r="F47">
        <v>0.14149999999999999</v>
      </c>
    </row>
    <row r="48" spans="2:6" x14ac:dyDescent="0.3">
      <c r="B48" s="4">
        <v>20141009</v>
      </c>
      <c r="C48" s="4" t="s">
        <v>135</v>
      </c>
      <c r="D48" t="s">
        <v>36</v>
      </c>
      <c r="E48" s="4" t="s">
        <v>114</v>
      </c>
      <c r="F48">
        <v>0.14299999999999999</v>
      </c>
    </row>
    <row r="49" spans="2:6" x14ac:dyDescent="0.3">
      <c r="B49" s="4">
        <v>20141009</v>
      </c>
      <c r="C49" s="4" t="s">
        <v>135</v>
      </c>
      <c r="D49" s="4" t="s">
        <v>36</v>
      </c>
      <c r="E49" s="4" t="s">
        <v>115</v>
      </c>
      <c r="F49">
        <v>0.14799999999999999</v>
      </c>
    </row>
    <row r="50" spans="2:6" x14ac:dyDescent="0.3">
      <c r="B50" s="4">
        <v>20141009</v>
      </c>
      <c r="C50" s="4" t="s">
        <v>135</v>
      </c>
      <c r="D50" s="4" t="s">
        <v>36</v>
      </c>
      <c r="E50" s="4" t="s">
        <v>116</v>
      </c>
      <c r="F50">
        <v>0.15049999999999999</v>
      </c>
    </row>
    <row r="51" spans="2:6" x14ac:dyDescent="0.3">
      <c r="B51" s="4">
        <v>20141009</v>
      </c>
      <c r="C51" s="4" t="s">
        <v>135</v>
      </c>
      <c r="D51" s="4" t="s">
        <v>36</v>
      </c>
      <c r="E51" s="4" t="s">
        <v>117</v>
      </c>
      <c r="F51">
        <v>0.1545</v>
      </c>
    </row>
    <row r="52" spans="2:6" x14ac:dyDescent="0.3">
      <c r="B52" s="4">
        <v>20141009</v>
      </c>
      <c r="C52" s="4" t="s">
        <v>135</v>
      </c>
      <c r="D52" s="4" t="s">
        <v>36</v>
      </c>
      <c r="E52" s="4" t="s">
        <v>118</v>
      </c>
      <c r="F52">
        <v>0.159</v>
      </c>
    </row>
    <row r="53" spans="2:6" x14ac:dyDescent="0.3">
      <c r="B53" s="4">
        <v>20141009</v>
      </c>
      <c r="C53" s="4" t="s">
        <v>135</v>
      </c>
      <c r="D53" s="4" t="s">
        <v>36</v>
      </c>
      <c r="E53" s="4" t="s">
        <v>119</v>
      </c>
      <c r="F53">
        <v>0.1535</v>
      </c>
    </row>
    <row r="54" spans="2:6" x14ac:dyDescent="0.3">
      <c r="B54" s="4">
        <v>20141009</v>
      </c>
      <c r="C54" s="4" t="s">
        <v>135</v>
      </c>
      <c r="D54" s="4" t="s">
        <v>36</v>
      </c>
      <c r="E54" s="4" t="s">
        <v>120</v>
      </c>
      <c r="F54">
        <v>0.15</v>
      </c>
    </row>
    <row r="55" spans="2:6" x14ac:dyDescent="0.3">
      <c r="B55" s="4">
        <v>20141009</v>
      </c>
      <c r="C55" s="4" t="s">
        <v>135</v>
      </c>
      <c r="D55" s="4" t="s">
        <v>36</v>
      </c>
      <c r="E55" s="4" t="s">
        <v>121</v>
      </c>
      <c r="F55">
        <v>0.14099999999999999</v>
      </c>
    </row>
    <row r="56" spans="2:6" x14ac:dyDescent="0.3">
      <c r="B56" s="4">
        <v>20141009</v>
      </c>
      <c r="C56" s="4" t="s">
        <v>135</v>
      </c>
      <c r="D56" s="4" t="s">
        <v>36</v>
      </c>
      <c r="E56" s="4" t="s">
        <v>122</v>
      </c>
      <c r="F56">
        <v>0.13600000000000001</v>
      </c>
    </row>
    <row r="57" spans="2:6" x14ac:dyDescent="0.3">
      <c r="B57" s="4">
        <v>20141009</v>
      </c>
      <c r="C57" s="4" t="s">
        <v>135</v>
      </c>
      <c r="D57" t="s">
        <v>14</v>
      </c>
      <c r="E57" s="4" t="s">
        <v>114</v>
      </c>
      <c r="F57">
        <v>0.154</v>
      </c>
    </row>
    <row r="58" spans="2:6" x14ac:dyDescent="0.3">
      <c r="B58" s="4">
        <v>20141009</v>
      </c>
      <c r="C58" s="4" t="s">
        <v>135</v>
      </c>
      <c r="D58" s="4" t="s">
        <v>14</v>
      </c>
      <c r="E58" s="4" t="s">
        <v>115</v>
      </c>
      <c r="F58">
        <v>0.156</v>
      </c>
    </row>
    <row r="59" spans="2:6" x14ac:dyDescent="0.3">
      <c r="B59" s="4">
        <v>20141009</v>
      </c>
      <c r="C59" s="4" t="s">
        <v>135</v>
      </c>
      <c r="D59" s="4" t="s">
        <v>14</v>
      </c>
      <c r="E59" s="4" t="s">
        <v>116</v>
      </c>
      <c r="F59">
        <v>0.153</v>
      </c>
    </row>
    <row r="60" spans="2:6" x14ac:dyDescent="0.3">
      <c r="B60" s="4">
        <v>20141009</v>
      </c>
      <c r="C60" s="4" t="s">
        <v>135</v>
      </c>
      <c r="D60" s="4" t="s">
        <v>14</v>
      </c>
      <c r="E60" s="4" t="s">
        <v>117</v>
      </c>
      <c r="F60">
        <v>0.1545</v>
      </c>
    </row>
    <row r="61" spans="2:6" x14ac:dyDescent="0.3">
      <c r="B61" s="4">
        <v>20141009</v>
      </c>
      <c r="C61" s="4" t="s">
        <v>135</v>
      </c>
      <c r="D61" s="4" t="s">
        <v>14</v>
      </c>
      <c r="E61" s="4" t="s">
        <v>118</v>
      </c>
      <c r="F61">
        <v>0.156</v>
      </c>
    </row>
    <row r="62" spans="2:6" x14ac:dyDescent="0.3">
      <c r="B62" s="4">
        <v>20141009</v>
      </c>
      <c r="C62" s="4" t="s">
        <v>135</v>
      </c>
      <c r="D62" s="4" t="s">
        <v>14</v>
      </c>
      <c r="E62" s="4" t="s">
        <v>119</v>
      </c>
      <c r="F62">
        <v>0.15</v>
      </c>
    </row>
    <row r="63" spans="2:6" x14ac:dyDescent="0.3">
      <c r="B63" s="4">
        <v>20141009</v>
      </c>
      <c r="C63" s="4" t="s">
        <v>135</v>
      </c>
      <c r="D63" s="4" t="s">
        <v>14</v>
      </c>
      <c r="E63" s="4" t="s">
        <v>120</v>
      </c>
      <c r="F63">
        <v>0.14599999999999999</v>
      </c>
    </row>
    <row r="64" spans="2:6" x14ac:dyDescent="0.3">
      <c r="B64" s="4">
        <v>20141009</v>
      </c>
      <c r="C64" s="4" t="s">
        <v>135</v>
      </c>
      <c r="D64" s="4" t="s">
        <v>14</v>
      </c>
      <c r="E64" s="4" t="s">
        <v>121</v>
      </c>
      <c r="F64">
        <v>0.13600000000000001</v>
      </c>
    </row>
    <row r="65" spans="2:6" x14ac:dyDescent="0.3">
      <c r="B65" s="4">
        <v>20141009</v>
      </c>
      <c r="C65" s="4" t="s">
        <v>135</v>
      </c>
      <c r="D65" s="4" t="s">
        <v>14</v>
      </c>
      <c r="E65" s="4" t="s">
        <v>122</v>
      </c>
      <c r="F65">
        <v>0.13100000000000001</v>
      </c>
    </row>
    <row r="66" spans="2:6" x14ac:dyDescent="0.3">
      <c r="B66" s="4">
        <v>20141009</v>
      </c>
      <c r="C66" s="4" t="s">
        <v>135</v>
      </c>
      <c r="D66" t="s">
        <v>15</v>
      </c>
      <c r="E66" s="4" t="s">
        <v>114</v>
      </c>
      <c r="F66">
        <v>0.16350000000000001</v>
      </c>
    </row>
    <row r="67" spans="2:6" x14ac:dyDescent="0.3">
      <c r="B67" s="4">
        <v>20141009</v>
      </c>
      <c r="C67" s="4" t="s">
        <v>135</v>
      </c>
      <c r="D67" s="4" t="s">
        <v>15</v>
      </c>
      <c r="E67" s="4" t="s">
        <v>115</v>
      </c>
      <c r="F67">
        <v>0.1585</v>
      </c>
    </row>
    <row r="68" spans="2:6" x14ac:dyDescent="0.3">
      <c r="B68" s="4">
        <v>20141009</v>
      </c>
      <c r="C68" s="4" t="s">
        <v>135</v>
      </c>
      <c r="D68" s="4" t="s">
        <v>15</v>
      </c>
      <c r="E68" s="4" t="s">
        <v>116</v>
      </c>
      <c r="F68">
        <v>0.1555</v>
      </c>
    </row>
    <row r="69" spans="2:6" x14ac:dyDescent="0.3">
      <c r="B69" s="4">
        <v>20141009</v>
      </c>
      <c r="C69" s="4" t="s">
        <v>135</v>
      </c>
      <c r="D69" s="4" t="s">
        <v>15</v>
      </c>
      <c r="E69" s="4" t="s">
        <v>117</v>
      </c>
      <c r="F69">
        <v>0.153</v>
      </c>
    </row>
    <row r="70" spans="2:6" x14ac:dyDescent="0.3">
      <c r="B70" s="4">
        <v>20141009</v>
      </c>
      <c r="C70" s="4" t="s">
        <v>135</v>
      </c>
      <c r="D70" s="4" t="s">
        <v>15</v>
      </c>
      <c r="E70" s="4" t="s">
        <v>118</v>
      </c>
      <c r="F70">
        <v>0.15049999999999999</v>
      </c>
    </row>
    <row r="71" spans="2:6" x14ac:dyDescent="0.3">
      <c r="B71" s="4">
        <v>20141009</v>
      </c>
      <c r="C71" s="4" t="s">
        <v>135</v>
      </c>
      <c r="D71" s="4" t="s">
        <v>15</v>
      </c>
      <c r="E71" s="4" t="s">
        <v>119</v>
      </c>
      <c r="F71">
        <v>0.14599999999999999</v>
      </c>
    </row>
    <row r="72" spans="2:6" x14ac:dyDescent="0.3">
      <c r="B72" s="4">
        <v>20141009</v>
      </c>
      <c r="C72" s="4" t="s">
        <v>135</v>
      </c>
      <c r="D72" s="4" t="s">
        <v>15</v>
      </c>
      <c r="E72" s="4" t="s">
        <v>120</v>
      </c>
      <c r="F72">
        <v>0.14299999999999999</v>
      </c>
    </row>
    <row r="73" spans="2:6" x14ac:dyDescent="0.3">
      <c r="B73" s="4">
        <v>20141009</v>
      </c>
      <c r="C73" s="4" t="s">
        <v>135</v>
      </c>
      <c r="D73" s="4" t="s">
        <v>15</v>
      </c>
      <c r="E73" s="4" t="s">
        <v>121</v>
      </c>
      <c r="F73">
        <v>0.13400000000000001</v>
      </c>
    </row>
    <row r="74" spans="2:6" x14ac:dyDescent="0.3">
      <c r="B74" s="4">
        <v>20141009</v>
      </c>
      <c r="C74" s="4" t="s">
        <v>135</v>
      </c>
      <c r="D74" s="4" t="s">
        <v>15</v>
      </c>
      <c r="E74" s="4" t="s">
        <v>122</v>
      </c>
      <c r="F74">
        <v>0.129</v>
      </c>
    </row>
    <row r="75" spans="2:6" x14ac:dyDescent="0.3">
      <c r="B75" s="4">
        <v>20141009</v>
      </c>
      <c r="C75" s="4" t="s">
        <v>135</v>
      </c>
      <c r="D75" t="s">
        <v>16</v>
      </c>
      <c r="E75" s="4" t="s">
        <v>114</v>
      </c>
      <c r="F75">
        <v>0.161</v>
      </c>
    </row>
    <row r="76" spans="2:6" x14ac:dyDescent="0.3">
      <c r="B76" s="4">
        <v>20141009</v>
      </c>
      <c r="C76" s="4" t="s">
        <v>135</v>
      </c>
      <c r="D76" s="4" t="s">
        <v>16</v>
      </c>
      <c r="E76" s="4" t="s">
        <v>115</v>
      </c>
      <c r="F76">
        <v>0.1575</v>
      </c>
    </row>
    <row r="77" spans="2:6" x14ac:dyDescent="0.3">
      <c r="B77" s="4">
        <v>20141009</v>
      </c>
      <c r="C77" s="4" t="s">
        <v>135</v>
      </c>
      <c r="D77" s="4" t="s">
        <v>16</v>
      </c>
      <c r="E77" s="4" t="s">
        <v>116</v>
      </c>
      <c r="F77">
        <v>0.1535</v>
      </c>
    </row>
    <row r="78" spans="2:6" x14ac:dyDescent="0.3">
      <c r="B78" s="4">
        <v>20141009</v>
      </c>
      <c r="C78" s="4" t="s">
        <v>135</v>
      </c>
      <c r="D78" s="4" t="s">
        <v>16</v>
      </c>
      <c r="E78" s="4" t="s">
        <v>117</v>
      </c>
      <c r="F78">
        <v>0.15</v>
      </c>
    </row>
    <row r="79" spans="2:6" x14ac:dyDescent="0.3">
      <c r="B79" s="4">
        <v>20141009</v>
      </c>
      <c r="C79" s="4" t="s">
        <v>135</v>
      </c>
      <c r="D79" s="4" t="s">
        <v>16</v>
      </c>
      <c r="E79" s="4" t="s">
        <v>118</v>
      </c>
      <c r="F79">
        <v>0.14699999999999999</v>
      </c>
    </row>
    <row r="80" spans="2:6" x14ac:dyDescent="0.3">
      <c r="B80" s="4">
        <v>20141009</v>
      </c>
      <c r="C80" s="4" t="s">
        <v>135</v>
      </c>
      <c r="D80" s="4" t="s">
        <v>16</v>
      </c>
      <c r="E80" s="4" t="s">
        <v>119</v>
      </c>
      <c r="F80">
        <v>0.14399999999999999</v>
      </c>
    </row>
    <row r="81" spans="2:6" x14ac:dyDescent="0.3">
      <c r="B81" s="4">
        <v>20141009</v>
      </c>
      <c r="C81" s="4" t="s">
        <v>135</v>
      </c>
      <c r="D81" s="4" t="s">
        <v>16</v>
      </c>
      <c r="E81" s="4" t="s">
        <v>120</v>
      </c>
      <c r="F81">
        <v>0.14199999999999999</v>
      </c>
    </row>
    <row r="82" spans="2:6" x14ac:dyDescent="0.3">
      <c r="B82" s="4">
        <v>20141009</v>
      </c>
      <c r="C82" s="4" t="s">
        <v>135</v>
      </c>
      <c r="D82" s="4" t="s">
        <v>16</v>
      </c>
      <c r="E82" s="4" t="s">
        <v>121</v>
      </c>
      <c r="F82">
        <v>0.13300000000000001</v>
      </c>
    </row>
    <row r="83" spans="2:6" x14ac:dyDescent="0.3">
      <c r="B83" s="4">
        <v>20141009</v>
      </c>
      <c r="C83" s="4" t="s">
        <v>135</v>
      </c>
      <c r="D83" s="4" t="s">
        <v>16</v>
      </c>
      <c r="E83" s="4" t="s">
        <v>122</v>
      </c>
      <c r="F83">
        <v>0.126</v>
      </c>
    </row>
    <row r="84" spans="2:6" x14ac:dyDescent="0.3">
      <c r="B84" s="4">
        <v>20141009</v>
      </c>
      <c r="C84" s="4" t="s">
        <v>135</v>
      </c>
      <c r="D84" t="s">
        <v>17</v>
      </c>
      <c r="E84" s="4" t="s">
        <v>114</v>
      </c>
      <c r="F84">
        <v>0.16350000000000001</v>
      </c>
    </row>
    <row r="85" spans="2:6" x14ac:dyDescent="0.3">
      <c r="B85" s="4">
        <v>20141009</v>
      </c>
      <c r="C85" s="4" t="s">
        <v>135</v>
      </c>
      <c r="D85" s="4" t="s">
        <v>17</v>
      </c>
      <c r="E85" s="4" t="s">
        <v>115</v>
      </c>
      <c r="F85">
        <v>0.1565</v>
      </c>
    </row>
    <row r="86" spans="2:6" x14ac:dyDescent="0.3">
      <c r="B86" s="4">
        <v>20141009</v>
      </c>
      <c r="C86" s="4" t="s">
        <v>135</v>
      </c>
      <c r="D86" s="4" t="s">
        <v>17</v>
      </c>
      <c r="E86" s="4" t="s">
        <v>116</v>
      </c>
      <c r="F86">
        <v>0.153</v>
      </c>
    </row>
    <row r="87" spans="2:6" x14ac:dyDescent="0.3">
      <c r="B87" s="4">
        <v>20141009</v>
      </c>
      <c r="C87" s="4" t="s">
        <v>135</v>
      </c>
      <c r="D87" s="4" t="s">
        <v>17</v>
      </c>
      <c r="E87" s="4" t="s">
        <v>117</v>
      </c>
      <c r="F87">
        <v>0.14949999999999999</v>
      </c>
    </row>
    <row r="88" spans="2:6" x14ac:dyDescent="0.3">
      <c r="B88" s="4">
        <v>20141009</v>
      </c>
      <c r="C88" s="4" t="s">
        <v>135</v>
      </c>
      <c r="D88" s="4" t="s">
        <v>17</v>
      </c>
      <c r="E88" s="4" t="s">
        <v>118</v>
      </c>
      <c r="F88">
        <v>0.14599999999999999</v>
      </c>
    </row>
    <row r="89" spans="2:6" x14ac:dyDescent="0.3">
      <c r="B89" s="4">
        <v>20141009</v>
      </c>
      <c r="C89" s="4" t="s">
        <v>135</v>
      </c>
      <c r="D89" s="4" t="s">
        <v>17</v>
      </c>
      <c r="E89" s="4" t="s">
        <v>119</v>
      </c>
      <c r="F89">
        <v>0.14399999999999999</v>
      </c>
    </row>
    <row r="90" spans="2:6" x14ac:dyDescent="0.3">
      <c r="B90" s="4">
        <v>20141009</v>
      </c>
      <c r="C90" s="4" t="s">
        <v>135</v>
      </c>
      <c r="D90" s="4" t="s">
        <v>17</v>
      </c>
      <c r="E90" s="4" t="s">
        <v>120</v>
      </c>
      <c r="F90">
        <v>0.14299999999999999</v>
      </c>
    </row>
    <row r="91" spans="2:6" x14ac:dyDescent="0.3">
      <c r="B91" s="4">
        <v>20141009</v>
      </c>
      <c r="C91" s="4" t="s">
        <v>135</v>
      </c>
      <c r="D91" s="4" t="s">
        <v>17</v>
      </c>
      <c r="E91" s="4" t="s">
        <v>121</v>
      </c>
      <c r="F91">
        <v>0.13300000000000001</v>
      </c>
    </row>
    <row r="92" spans="2:6" x14ac:dyDescent="0.3">
      <c r="B92" s="4">
        <v>20141009</v>
      </c>
      <c r="C92" s="4" t="s">
        <v>135</v>
      </c>
      <c r="D92" s="4" t="s">
        <v>17</v>
      </c>
      <c r="E92" s="4" t="s">
        <v>122</v>
      </c>
      <c r="F92">
        <v>0.127</v>
      </c>
    </row>
    <row r="93" spans="2:6" x14ac:dyDescent="0.3">
      <c r="B93" s="4">
        <v>20141009</v>
      </c>
      <c r="C93" s="4" t="s">
        <v>135</v>
      </c>
      <c r="D93" t="s">
        <v>18</v>
      </c>
      <c r="E93" s="4" t="s">
        <v>114</v>
      </c>
      <c r="F93">
        <v>0.151</v>
      </c>
    </row>
    <row r="94" spans="2:6" x14ac:dyDescent="0.3">
      <c r="B94" s="4">
        <v>20141009</v>
      </c>
      <c r="C94" s="4" t="s">
        <v>135</v>
      </c>
      <c r="D94" s="4" t="s">
        <v>18</v>
      </c>
      <c r="E94" s="4" t="s">
        <v>115</v>
      </c>
      <c r="F94">
        <v>0.14949999999999999</v>
      </c>
    </row>
    <row r="95" spans="2:6" x14ac:dyDescent="0.3">
      <c r="B95" s="4">
        <v>20141009</v>
      </c>
      <c r="C95" s="4" t="s">
        <v>135</v>
      </c>
      <c r="D95" s="4" t="s">
        <v>18</v>
      </c>
      <c r="E95" s="4" t="s">
        <v>116</v>
      </c>
      <c r="F95">
        <v>0.14799999999999999</v>
      </c>
    </row>
    <row r="96" spans="2:6" x14ac:dyDescent="0.3">
      <c r="B96" s="4">
        <v>20141009</v>
      </c>
      <c r="C96" s="4" t="s">
        <v>135</v>
      </c>
      <c r="D96" s="4" t="s">
        <v>18</v>
      </c>
      <c r="E96" s="4" t="s">
        <v>117</v>
      </c>
      <c r="F96">
        <v>0.14549999999999999</v>
      </c>
    </row>
    <row r="97" spans="2:6" x14ac:dyDescent="0.3">
      <c r="B97" s="4">
        <v>20141009</v>
      </c>
      <c r="C97" s="4" t="s">
        <v>135</v>
      </c>
      <c r="D97" s="4" t="s">
        <v>18</v>
      </c>
      <c r="E97" s="4" t="s">
        <v>118</v>
      </c>
      <c r="F97">
        <v>0.14199999999999999</v>
      </c>
    </row>
    <row r="98" spans="2:6" x14ac:dyDescent="0.3">
      <c r="B98" s="4">
        <v>20141009</v>
      </c>
      <c r="C98" s="4" t="s">
        <v>135</v>
      </c>
      <c r="D98" s="4" t="s">
        <v>18</v>
      </c>
      <c r="E98" s="4" t="s">
        <v>119</v>
      </c>
      <c r="F98">
        <v>0.14099999999999999</v>
      </c>
    </row>
    <row r="99" spans="2:6" x14ac:dyDescent="0.3">
      <c r="B99" s="4">
        <v>20141009</v>
      </c>
      <c r="C99" s="4" t="s">
        <v>135</v>
      </c>
      <c r="D99" s="4" t="s">
        <v>18</v>
      </c>
      <c r="E99" s="4" t="s">
        <v>120</v>
      </c>
      <c r="F99">
        <v>0.13800000000000001</v>
      </c>
    </row>
    <row r="100" spans="2:6" x14ac:dyDescent="0.3">
      <c r="B100" s="4">
        <v>20141009</v>
      </c>
      <c r="C100" s="4" t="s">
        <v>135</v>
      </c>
      <c r="D100" s="4" t="s">
        <v>18</v>
      </c>
      <c r="E100" s="4" t="s">
        <v>121</v>
      </c>
      <c r="F100">
        <v>0.128</v>
      </c>
    </row>
    <row r="101" spans="2:6" x14ac:dyDescent="0.3">
      <c r="B101" s="4">
        <v>20141009</v>
      </c>
      <c r="C101" s="4" t="s">
        <v>135</v>
      </c>
      <c r="D101" s="4" t="s">
        <v>18</v>
      </c>
      <c r="E101" s="4" t="s">
        <v>122</v>
      </c>
      <c r="F101">
        <v>0.124</v>
      </c>
    </row>
    <row r="102" spans="2:6" x14ac:dyDescent="0.3">
      <c r="B102" s="4">
        <v>20141009</v>
      </c>
      <c r="C102" s="4" t="s">
        <v>135</v>
      </c>
      <c r="D102" t="s">
        <v>19</v>
      </c>
      <c r="E102" s="4" t="s">
        <v>114</v>
      </c>
      <c r="F102">
        <v>0.152</v>
      </c>
    </row>
    <row r="103" spans="2:6" x14ac:dyDescent="0.3">
      <c r="B103" s="4">
        <v>20141009</v>
      </c>
      <c r="C103" s="4" t="s">
        <v>135</v>
      </c>
      <c r="D103" s="4" t="s">
        <v>19</v>
      </c>
      <c r="E103" s="4" t="s">
        <v>115</v>
      </c>
      <c r="F103">
        <v>0.15049999999999999</v>
      </c>
    </row>
    <row r="104" spans="2:6" x14ac:dyDescent="0.3">
      <c r="B104" s="4">
        <v>20141009</v>
      </c>
      <c r="C104" s="4" t="s">
        <v>135</v>
      </c>
      <c r="D104" s="4" t="s">
        <v>19</v>
      </c>
      <c r="E104" s="4" t="s">
        <v>116</v>
      </c>
      <c r="F104">
        <v>0.14799999999999999</v>
      </c>
    </row>
    <row r="105" spans="2:6" x14ac:dyDescent="0.3">
      <c r="B105" s="4">
        <v>20141009</v>
      </c>
      <c r="C105" s="4" t="s">
        <v>135</v>
      </c>
      <c r="D105" s="4" t="s">
        <v>19</v>
      </c>
      <c r="E105" s="4" t="s">
        <v>117</v>
      </c>
      <c r="F105">
        <v>0.14549999999999999</v>
      </c>
    </row>
    <row r="106" spans="2:6" x14ac:dyDescent="0.3">
      <c r="B106" s="4">
        <v>20141009</v>
      </c>
      <c r="C106" s="4" t="s">
        <v>135</v>
      </c>
      <c r="D106" s="4" t="s">
        <v>19</v>
      </c>
      <c r="E106" s="4" t="s">
        <v>118</v>
      </c>
      <c r="F106">
        <v>0.14299999999999999</v>
      </c>
    </row>
    <row r="107" spans="2:6" x14ac:dyDescent="0.3">
      <c r="B107" s="4">
        <v>20141009</v>
      </c>
      <c r="C107" s="4" t="s">
        <v>135</v>
      </c>
      <c r="D107" s="4" t="s">
        <v>19</v>
      </c>
      <c r="E107" s="4" t="s">
        <v>119</v>
      </c>
      <c r="F107">
        <v>0.14000000000000001</v>
      </c>
    </row>
    <row r="108" spans="2:6" x14ac:dyDescent="0.3">
      <c r="B108" s="4">
        <v>20141009</v>
      </c>
      <c r="C108" s="4" t="s">
        <v>135</v>
      </c>
      <c r="D108" s="4" t="s">
        <v>19</v>
      </c>
      <c r="E108" s="4" t="s">
        <v>120</v>
      </c>
      <c r="F108">
        <v>0.13200000000000001</v>
      </c>
    </row>
    <row r="109" spans="2:6" x14ac:dyDescent="0.3">
      <c r="B109" s="4">
        <v>20141009</v>
      </c>
      <c r="C109" s="4" t="s">
        <v>135</v>
      </c>
      <c r="D109" s="4" t="s">
        <v>19</v>
      </c>
      <c r="E109" s="4" t="s">
        <v>121</v>
      </c>
      <c r="F109">
        <v>0.125</v>
      </c>
    </row>
    <row r="110" spans="2:6" x14ac:dyDescent="0.3">
      <c r="B110" s="4">
        <v>20141009</v>
      </c>
      <c r="C110" s="4" t="s">
        <v>135</v>
      </c>
      <c r="D110" s="4" t="s">
        <v>19</v>
      </c>
      <c r="E110" s="4" t="s">
        <v>122</v>
      </c>
      <c r="F110">
        <v>0.122</v>
      </c>
    </row>
    <row r="111" spans="2:6" x14ac:dyDescent="0.3">
      <c r="B111" s="4">
        <v>20141009</v>
      </c>
      <c r="C111" s="4" t="s">
        <v>135</v>
      </c>
      <c r="D111" t="s">
        <v>20</v>
      </c>
      <c r="E111" s="4" t="s">
        <v>114</v>
      </c>
      <c r="F111">
        <v>0.1525</v>
      </c>
    </row>
    <row r="112" spans="2:6" x14ac:dyDescent="0.3">
      <c r="B112" s="4">
        <v>20141009</v>
      </c>
      <c r="C112" s="4" t="s">
        <v>135</v>
      </c>
      <c r="D112" s="4" t="s">
        <v>20</v>
      </c>
      <c r="E112" s="4" t="s">
        <v>115</v>
      </c>
      <c r="F112">
        <v>0.1515</v>
      </c>
    </row>
    <row r="113" spans="2:6" x14ac:dyDescent="0.3">
      <c r="B113" s="4">
        <v>20141009</v>
      </c>
      <c r="C113" s="4" t="s">
        <v>135</v>
      </c>
      <c r="D113" s="4" t="s">
        <v>20</v>
      </c>
      <c r="E113" s="4" t="s">
        <v>116</v>
      </c>
      <c r="F113">
        <v>0.14799999999999999</v>
      </c>
    </row>
    <row r="114" spans="2:6" x14ac:dyDescent="0.3">
      <c r="B114" s="4">
        <v>20141009</v>
      </c>
      <c r="C114" s="4" t="s">
        <v>135</v>
      </c>
      <c r="D114" s="4" t="s">
        <v>20</v>
      </c>
      <c r="E114" s="4" t="s">
        <v>117</v>
      </c>
      <c r="F114">
        <v>0.14149999999999999</v>
      </c>
    </row>
    <row r="115" spans="2:6" x14ac:dyDescent="0.3">
      <c r="B115" s="4">
        <v>20141009</v>
      </c>
      <c r="C115" s="4" t="s">
        <v>135</v>
      </c>
      <c r="D115" s="4" t="s">
        <v>20</v>
      </c>
      <c r="E115" s="4" t="s">
        <v>118</v>
      </c>
      <c r="F115">
        <v>0.13700000000000001</v>
      </c>
    </row>
    <row r="116" spans="2:6" x14ac:dyDescent="0.3">
      <c r="B116" s="4">
        <v>20141009</v>
      </c>
      <c r="C116" s="4" t="s">
        <v>135</v>
      </c>
      <c r="D116" s="4" t="s">
        <v>20</v>
      </c>
      <c r="E116" s="4" t="s">
        <v>119</v>
      </c>
      <c r="F116">
        <v>0.13100000000000001</v>
      </c>
    </row>
    <row r="117" spans="2:6" x14ac:dyDescent="0.3">
      <c r="B117" s="4">
        <v>20141009</v>
      </c>
      <c r="C117" s="4" t="s">
        <v>135</v>
      </c>
      <c r="D117" s="4" t="s">
        <v>20</v>
      </c>
      <c r="E117" s="4" t="s">
        <v>120</v>
      </c>
      <c r="F117">
        <v>0.128</v>
      </c>
    </row>
    <row r="118" spans="2:6" x14ac:dyDescent="0.3">
      <c r="B118" s="4">
        <v>20141009</v>
      </c>
      <c r="C118" s="4" t="s">
        <v>135</v>
      </c>
      <c r="D118" s="4" t="s">
        <v>20</v>
      </c>
      <c r="E118" s="4" t="s">
        <v>121</v>
      </c>
      <c r="F118">
        <v>0.121</v>
      </c>
    </row>
    <row r="119" spans="2:6" x14ac:dyDescent="0.3">
      <c r="B119" s="4">
        <v>20141009</v>
      </c>
      <c r="C119" s="4" t="s">
        <v>135</v>
      </c>
      <c r="D119" s="4" t="s">
        <v>20</v>
      </c>
      <c r="E119" s="4" t="s">
        <v>122</v>
      </c>
      <c r="F119">
        <v>0.12</v>
      </c>
    </row>
    <row r="120" spans="2:6" x14ac:dyDescent="0.3">
      <c r="B120" s="4">
        <v>20141009</v>
      </c>
      <c r="C120" s="4" t="s">
        <v>135</v>
      </c>
      <c r="D120" t="s">
        <v>21</v>
      </c>
      <c r="E120" s="4" t="s">
        <v>114</v>
      </c>
      <c r="F120">
        <v>0.14000000000000001</v>
      </c>
    </row>
    <row r="121" spans="2:6" x14ac:dyDescent="0.3">
      <c r="B121" s="4">
        <v>20141009</v>
      </c>
      <c r="C121" s="4" t="s">
        <v>135</v>
      </c>
      <c r="D121" s="4" t="s">
        <v>21</v>
      </c>
      <c r="E121" s="4" t="s">
        <v>115</v>
      </c>
      <c r="F121">
        <v>0.13400000000000001</v>
      </c>
    </row>
    <row r="122" spans="2:6" x14ac:dyDescent="0.3">
      <c r="B122" s="4">
        <v>20141009</v>
      </c>
      <c r="C122" s="4" t="s">
        <v>135</v>
      </c>
      <c r="D122" s="4" t="s">
        <v>21</v>
      </c>
      <c r="E122" s="4" t="s">
        <v>116</v>
      </c>
      <c r="F122">
        <v>0.128</v>
      </c>
    </row>
    <row r="123" spans="2:6" x14ac:dyDescent="0.3">
      <c r="B123" s="4">
        <v>20141009</v>
      </c>
      <c r="C123" s="4" t="s">
        <v>135</v>
      </c>
      <c r="D123" s="4" t="s">
        <v>21</v>
      </c>
      <c r="E123" s="4" t="s">
        <v>117</v>
      </c>
      <c r="F123">
        <v>0.124</v>
      </c>
    </row>
    <row r="124" spans="2:6" x14ac:dyDescent="0.3">
      <c r="B124" s="4">
        <v>20141009</v>
      </c>
      <c r="C124" s="4" t="s">
        <v>135</v>
      </c>
      <c r="D124" s="4" t="s">
        <v>21</v>
      </c>
      <c r="E124" s="4" t="s">
        <v>118</v>
      </c>
      <c r="F124">
        <v>0.122</v>
      </c>
    </row>
    <row r="125" spans="2:6" x14ac:dyDescent="0.3">
      <c r="B125" s="4">
        <v>20141009</v>
      </c>
      <c r="C125" s="4" t="s">
        <v>135</v>
      </c>
      <c r="D125" s="4" t="s">
        <v>21</v>
      </c>
      <c r="E125" s="4" t="s">
        <v>119</v>
      </c>
      <c r="F125">
        <v>0.12</v>
      </c>
    </row>
    <row r="126" spans="2:6" x14ac:dyDescent="0.3">
      <c r="B126" s="4">
        <v>20141009</v>
      </c>
      <c r="C126" s="4" t="s">
        <v>135</v>
      </c>
      <c r="D126" s="4" t="s">
        <v>21</v>
      </c>
      <c r="E126" s="4" t="s">
        <v>120</v>
      </c>
      <c r="F126">
        <v>0.122</v>
      </c>
    </row>
    <row r="127" spans="2:6" x14ac:dyDescent="0.3">
      <c r="B127" s="4">
        <v>20141009</v>
      </c>
      <c r="C127" s="4" t="s">
        <v>135</v>
      </c>
      <c r="D127" s="4" t="s">
        <v>21</v>
      </c>
      <c r="E127" s="4" t="s">
        <v>121</v>
      </c>
      <c r="F127">
        <v>0.11700000000000001</v>
      </c>
    </row>
    <row r="128" spans="2:6" x14ac:dyDescent="0.3">
      <c r="B128" s="4">
        <v>20141009</v>
      </c>
      <c r="C128" s="4" t="s">
        <v>135</v>
      </c>
      <c r="D128" s="4" t="s">
        <v>21</v>
      </c>
      <c r="E128" s="4" t="s">
        <v>122</v>
      </c>
      <c r="F128">
        <v>0.11799999999999999</v>
      </c>
    </row>
    <row r="129" spans="2:6" x14ac:dyDescent="0.3">
      <c r="B129" s="4">
        <v>20141009</v>
      </c>
      <c r="C129" s="4" t="s">
        <v>135</v>
      </c>
      <c r="D129" t="s">
        <v>22</v>
      </c>
      <c r="E129" s="4" t="s">
        <v>114</v>
      </c>
      <c r="F129">
        <v>0.129</v>
      </c>
    </row>
    <row r="130" spans="2:6" x14ac:dyDescent="0.3">
      <c r="B130" s="4">
        <v>20141009</v>
      </c>
      <c r="C130" s="4" t="s">
        <v>135</v>
      </c>
      <c r="D130" s="4" t="s">
        <v>22</v>
      </c>
      <c r="E130" s="4" t="s">
        <v>115</v>
      </c>
      <c r="F130">
        <v>0.129</v>
      </c>
    </row>
    <row r="131" spans="2:6" x14ac:dyDescent="0.3">
      <c r="B131" s="4">
        <v>20141009</v>
      </c>
      <c r="C131" s="4" t="s">
        <v>135</v>
      </c>
      <c r="D131" s="4" t="s">
        <v>22</v>
      </c>
      <c r="E131" s="4" t="s">
        <v>116</v>
      </c>
      <c r="F131">
        <v>0.127</v>
      </c>
    </row>
    <row r="132" spans="2:6" x14ac:dyDescent="0.3">
      <c r="B132" s="4">
        <v>20141009</v>
      </c>
      <c r="C132" s="4" t="s">
        <v>135</v>
      </c>
      <c r="D132" s="4" t="s">
        <v>22</v>
      </c>
      <c r="E132" s="4" t="s">
        <v>117</v>
      </c>
      <c r="F132">
        <v>0.126</v>
      </c>
    </row>
    <row r="133" spans="2:6" x14ac:dyDescent="0.3">
      <c r="B133" s="4">
        <v>20141009</v>
      </c>
      <c r="C133" s="4" t="s">
        <v>135</v>
      </c>
      <c r="D133" s="4" t="s">
        <v>22</v>
      </c>
      <c r="E133" s="4" t="s">
        <v>118</v>
      </c>
      <c r="F133">
        <v>0.124</v>
      </c>
    </row>
    <row r="134" spans="2:6" x14ac:dyDescent="0.3">
      <c r="B134" s="4">
        <v>20141009</v>
      </c>
      <c r="C134" s="4" t="s">
        <v>135</v>
      </c>
      <c r="D134" s="4" t="s">
        <v>22</v>
      </c>
      <c r="E134" s="4" t="s">
        <v>119</v>
      </c>
      <c r="F134">
        <v>0.13100000000000001</v>
      </c>
    </row>
    <row r="135" spans="2:6" x14ac:dyDescent="0.3">
      <c r="B135" s="4">
        <v>20141009</v>
      </c>
      <c r="C135" s="4" t="s">
        <v>135</v>
      </c>
      <c r="D135" s="4" t="s">
        <v>22</v>
      </c>
      <c r="E135" s="4" t="s">
        <v>120</v>
      </c>
      <c r="F135">
        <v>0.13400000000000001</v>
      </c>
    </row>
    <row r="136" spans="2:6" x14ac:dyDescent="0.3">
      <c r="B136" s="4">
        <v>20141009</v>
      </c>
      <c r="C136" s="4" t="s">
        <v>135</v>
      </c>
      <c r="D136" s="4" t="s">
        <v>22</v>
      </c>
      <c r="E136" s="4" t="s">
        <v>121</v>
      </c>
      <c r="F136">
        <v>0.11700000000000001</v>
      </c>
    </row>
    <row r="137" spans="2:6" x14ac:dyDescent="0.3">
      <c r="B137" s="4">
        <v>20141009</v>
      </c>
      <c r="C137" s="4" t="s">
        <v>135</v>
      </c>
      <c r="D137" s="4" t="s">
        <v>22</v>
      </c>
      <c r="E137" s="4" t="s">
        <v>122</v>
      </c>
      <c r="F137">
        <v>0.11799999999999999</v>
      </c>
    </row>
    <row r="138" spans="2:6" x14ac:dyDescent="0.3">
      <c r="E138" s="4"/>
    </row>
    <row r="139" spans="2:6" x14ac:dyDescent="0.3">
      <c r="E139" s="4"/>
    </row>
    <row r="140" spans="2:6" x14ac:dyDescent="0.3">
      <c r="E140" s="4"/>
    </row>
    <row r="141" spans="2:6" x14ac:dyDescent="0.3">
      <c r="E141" s="4"/>
    </row>
    <row r="142" spans="2:6" x14ac:dyDescent="0.3">
      <c r="E142" s="4"/>
    </row>
    <row r="143" spans="2:6" x14ac:dyDescent="0.3">
      <c r="E143" s="4"/>
    </row>
    <row r="144" spans="2:6" x14ac:dyDescent="0.3">
      <c r="E144" s="4"/>
    </row>
    <row r="145" spans="5:5" x14ac:dyDescent="0.3">
      <c r="E145" s="4"/>
    </row>
    <row r="146" spans="5:5" x14ac:dyDescent="0.3">
      <c r="E14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</vt:i4>
      </vt:variant>
    </vt:vector>
  </HeadingPairs>
  <TitlesOfParts>
    <vt:vector size="5" baseType="lpstr">
      <vt:lpstr>Sheet1</vt:lpstr>
      <vt:lpstr>Sheet2</vt:lpstr>
      <vt:lpstr>IRDATA</vt:lpstr>
      <vt:lpstr>VOLDATA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2015-02-23T09:02:46Z</dcterms:modified>
</cp:coreProperties>
</file>