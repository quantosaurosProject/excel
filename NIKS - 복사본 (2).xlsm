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120" yWindow="135" windowWidth="20700" windowHeight="10305"/>
  </bookViews>
  <sheets>
    <sheet name="Sheet1" sheetId="1" r:id="rId1"/>
    <sheet name="Sheet2" sheetId="2" r:id="rId2"/>
    <sheet name="Sheet3" sheetId="3" r:id="rId3"/>
  </sheets>
  <functionGroups builtInGroupCount="17"/>
  <definedNames>
    <definedName name="spotRateN">Sheet1!$F$5</definedName>
  </definedNames>
  <calcPr calcId="145621"/>
</workbook>
</file>

<file path=xl/calcChain.xml><?xml version="1.0" encoding="utf-8"?>
<calcChain xmlns="http://schemas.openxmlformats.org/spreadsheetml/2006/main">
  <c r="G3" i="1" l="1"/>
  <c r="F5" i="1" l="1"/>
</calcChain>
</file>

<file path=xl/sharedStrings.xml><?xml version="1.0" encoding="utf-8"?>
<sst xmlns="http://schemas.openxmlformats.org/spreadsheetml/2006/main" count="69" uniqueCount="57">
  <si>
    <t>변수명</t>
    <phoneticPr fontId="1" type="noConversion"/>
  </si>
  <si>
    <t>설명</t>
    <phoneticPr fontId="1" type="noConversion"/>
  </si>
  <si>
    <t>입력값</t>
    <phoneticPr fontId="1" type="noConversion"/>
  </si>
  <si>
    <t>Market Data</t>
    <phoneticPr fontId="1" type="noConversion"/>
  </si>
  <si>
    <t>오늘날짜</t>
    <phoneticPr fontId="1" type="noConversion"/>
  </si>
  <si>
    <t>spotRateN</t>
    <phoneticPr fontId="1" type="noConversion"/>
  </si>
  <si>
    <t>today</t>
    <phoneticPr fontId="1" type="noConversion"/>
  </si>
  <si>
    <t>spotRateT</t>
    <phoneticPr fontId="1" type="noConversion"/>
  </si>
  <si>
    <t>Discount Rates</t>
    <phoneticPr fontId="1" type="noConversion"/>
  </si>
  <si>
    <t>D1</t>
    <phoneticPr fontId="1" type="noConversion"/>
  </si>
  <si>
    <t>M3</t>
    <phoneticPr fontId="1" type="noConversion"/>
  </si>
  <si>
    <t>M6</t>
    <phoneticPr fontId="1" type="noConversion"/>
  </si>
  <si>
    <t>M9</t>
    <phoneticPr fontId="1" type="noConversion"/>
  </si>
  <si>
    <t>Y1</t>
    <phoneticPr fontId="1" type="noConversion"/>
  </si>
  <si>
    <t>Y2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</si>
  <si>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</si>
  <si>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</si>
  <si>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</si>
  <si>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Y7</t>
    <phoneticPr fontId="1" type="noConversion"/>
  </si>
  <si>
    <t>Y10</t>
    <phoneticPr fontId="1" type="noConversion"/>
  </si>
  <si>
    <t>Y12</t>
    <phoneticPr fontId="1" type="noConversion"/>
  </si>
  <si>
    <t>Y15</t>
    <phoneticPr fontId="1" type="noConversion"/>
  </si>
  <si>
    <t>Y20</t>
    <phoneticPr fontId="1" type="noConversion"/>
  </si>
  <si>
    <t>결과값</t>
    <phoneticPr fontId="1" type="noConversion"/>
  </si>
  <si>
    <t>spotRates</t>
    <phoneticPr fontId="1" type="noConversion"/>
  </si>
  <si>
    <t>InterestType</t>
    <phoneticPr fontId="1" type="noConversion"/>
  </si>
  <si>
    <t>Deposit</t>
    <phoneticPr fontId="1" type="noConversion"/>
  </si>
  <si>
    <t>Swap</t>
    <phoneticPr fontId="1" type="noConversion"/>
  </si>
  <si>
    <t>Interest Rate Curve</t>
    <phoneticPr fontId="1" type="noConversion"/>
  </si>
  <si>
    <t>volN</t>
    <phoneticPr fontId="1" type="noConversion"/>
  </si>
  <si>
    <t>matuN, tenorN</t>
    <phoneticPr fontId="1" type="noConversion"/>
  </si>
  <si>
    <t>volT</t>
    <phoneticPr fontId="1" type="noConversion"/>
  </si>
  <si>
    <t>vol</t>
    <phoneticPr fontId="1" type="noConversion"/>
  </si>
  <si>
    <t>M1</t>
    <phoneticPr fontId="1" type="noConversion"/>
  </si>
  <si>
    <t>M3</t>
    <phoneticPr fontId="1" type="noConversion"/>
  </si>
  <si>
    <t>M6</t>
    <phoneticPr fontId="1" type="noConversion"/>
  </si>
  <si>
    <t>M9</t>
    <phoneticPr fontId="1" type="noConversion"/>
  </si>
  <si>
    <t>Y1</t>
    <phoneticPr fontId="1" type="noConversion"/>
  </si>
  <si>
    <t>Y1H</t>
    <phoneticPr fontId="1" type="noConversion"/>
  </si>
  <si>
    <t>Y2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</si>
  <si>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</si>
  <si>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</si>
  <si>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</si>
  <si>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Y7</t>
    <phoneticPr fontId="1" type="noConversion"/>
  </si>
  <si>
    <t>Y10</t>
    <phoneticPr fontId="1" type="noConversion"/>
  </si>
  <si>
    <t>Y12</t>
    <phoneticPr fontId="1" type="noConversion"/>
  </si>
  <si>
    <t>Y15</t>
    <phoneticPr fontId="1" type="noConversion"/>
  </si>
  <si>
    <t>Y20</t>
    <phoneticPr fontId="1" type="noConversion"/>
  </si>
  <si>
    <t>Y1</t>
    <phoneticPr fontId="1" type="noConversion"/>
  </si>
  <si>
    <t>Y2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</si>
  <si>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</si>
  <si>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</si>
  <si>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</si>
  <si>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Y7</t>
    <phoneticPr fontId="1" type="noConversion"/>
  </si>
  <si>
    <t>Y10</t>
    <phoneticPr fontId="1" type="noConversion"/>
  </si>
  <si>
    <t>Y12</t>
    <phoneticPr fontId="1" type="noConversion"/>
  </si>
  <si>
    <t>Y15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</si>
</sst>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>
      <alignment vertical="center"/>
    </xf>
    <xf numFmtId="0" fontId="2" fillId="2" borderId="1">
      <alignment horizontal="center" vertical="center"/>
    </xf>
    <xf numFmtId="9" fontId="3" fillId="0" borderId="0" applyFont="0" applyFill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2">
      <alignment horizontal="right" vertical="center"/>
    </xf>
  </cellStyleXfs>
  <cellXfs count="11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2" fillId="2" borderId="1" xfId="1">
      <alignment horizontal="center" vertical="center"/>
    </xf>
    <xf numFmtId="0" fontId="0" fillId="0" borderId="0" xfId="0" applyAlignment="1">
      <alignment horizontal="center" vertical="center"/>
    </xf>
    <xf numFmtId="0" fontId="3" fillId="3" borderId="2" xfId="3" applyBorder="1" applyAlignment="1">
      <alignment horizontal="right" vertical="center"/>
    </xf>
    <xf numFmtId="10" fontId="3" fillId="3" borderId="2" xfId="2" applyNumberFormat="1" applyFill="1" applyBorder="1" applyAlignment="1">
      <alignment horizontal="right" vertical="center"/>
    </xf>
  </cellXfs>
  <cellStyles count="5">
    <cellStyle name="20% - 강조색3" xfId="3" builtinId="38"/>
    <cellStyle name="고정된항목" xfId="1"/>
    <cellStyle name="백분율" xfId="2" builtinId="5"/>
    <cellStyle name="입력변수" xfId="4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0</xdr:row>
          <xdr:rowOff>85725</xdr:rowOff>
        </xdr:from>
        <xdr:to>
          <xdr:col>12</xdr:col>
          <xdr:colOff>647700</xdr:colOff>
          <xdr:row>2</xdr:row>
          <xdr:rowOff>152400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27"/>
  <sheetViews>
    <sheetView tabSelected="1" workbookViewId="0">
      <pane xSplit="5" ySplit="3" topLeftCell="F4" activePane="bottomRight" state="frozen"/>
      <selection pane="topRight" activeCell="D1" sqref="D1"/>
      <selection pane="bottomLeft" activeCell="A4" sqref="A4"/>
      <selection pane="bottomRight" activeCell="F11" sqref="F11"/>
    </sheetView>
  </sheetViews>
  <sheetFormatPr defaultRowHeight="16.5" x14ac:dyDescent="0.3"/>
  <cols>
    <col min="1" max="1" width="2.5" customWidth="1"/>
    <col min="2" max="2" width="18.625" bestFit="1" customWidth="1"/>
    <col min="3" max="3" width="14.125" customWidth="1"/>
    <col min="5" max="5" width="14.625" bestFit="1" customWidth="1"/>
    <col min="6" max="19" width="11.125" customWidth="1"/>
  </cols>
  <sheetData>
    <row r="1" spans="2:19" x14ac:dyDescent="0.3">
      <c r="C1" s="2" t="s">
        <v>0</v>
      </c>
      <c r="D1" s="2" t="s">
        <v>1</v>
      </c>
      <c r="E1" s="2"/>
      <c r="F1" s="2" t="s">
        <v>2</v>
      </c>
      <c r="H1" s="2" t="s">
        <v>23</v>
      </c>
    </row>
    <row r="3" spans="2:19" x14ac:dyDescent="0.3">
      <c r="C3" t="s">
        <v>6</v>
      </c>
      <c r="D3" t="s">
        <v>4</v>
      </c>
      <c r="F3" s="1">
        <v>41740</v>
      </c>
      <c r="G3" s="6">
        <f>F3</f>
        <v>41740</v>
      </c>
      <c r="H3">
        <v>1</v>
      </c>
    </row>
    <row r="4" spans="2:19" x14ac:dyDescent="0.3">
      <c r="B4" s="3" t="s">
        <v>3</v>
      </c>
    </row>
    <row r="5" spans="2:19" x14ac:dyDescent="0.3">
      <c r="B5" s="8" t="s">
        <v>28</v>
      </c>
      <c r="C5" t="s">
        <v>5</v>
      </c>
      <c r="F5">
        <f>COUNTA(F7:AR7)</f>
        <v>14</v>
      </c>
    </row>
    <row r="6" spans="2:19" x14ac:dyDescent="0.3">
      <c r="B6" s="8"/>
      <c r="C6" t="s">
        <v>7</v>
      </c>
      <c r="F6" s="5" t="s">
        <v>9</v>
      </c>
      <c r="G6" s="5" t="s">
        <v>10</v>
      </c>
      <c r="H6" s="5" t="s">
        <v>11</v>
      </c>
      <c r="I6" s="5" t="s">
        <v>12</v>
      </c>
      <c r="J6" s="5" t="s">
        <v>13</v>
      </c>
      <c r="K6" s="5" t="s">
        <v>14</v>
      </c>
      <c r="L6" s="5" t="s">
        <v>15</v>
      </c>
      <c r="M6" s="5" t="s">
        <v>16</v>
      </c>
      <c r="N6" s="5" t="s">
        <v>17</v>
      </c>
      <c r="O6" s="5" t="s">
        <v>18</v>
      </c>
      <c r="P6" s="5" t="s">
        <v>19</v>
      </c>
      <c r="Q6" s="5" t="s">
        <v>20</v>
      </c>
      <c r="R6" s="5" t="s">
        <v>21</v>
      </c>
      <c r="S6" s="5" t="s">
        <v>22</v>
      </c>
    </row>
    <row r="7" spans="2:19" x14ac:dyDescent="0.3">
      <c r="B7" s="8"/>
      <c r="C7" t="s">
        <v>24</v>
      </c>
      <c r="F7" s="9">
        <v>2.4899999999999999E-2</v>
      </c>
      <c r="G7" s="9">
        <v>2.6499999999999999E-2</v>
      </c>
      <c r="H7" s="9">
        <v>2.6550000000000001E-2</v>
      </c>
      <c r="I7" s="9">
        <v>2.665E-2</v>
      </c>
      <c r="J7" s="9">
        <v>2.6800000000000001E-2</v>
      </c>
      <c r="K7" s="9">
        <v>2.785E-2</v>
      </c>
      <c r="L7" s="9">
        <v>2.8930000000000001E-2</v>
      </c>
      <c r="M7" s="9">
        <v>2.9899999999999999E-2</v>
      </c>
      <c r="N7" s="9">
        <v>3.0779999999999998E-2</v>
      </c>
      <c r="O7" s="9">
        <v>3.2030000000000003E-2</v>
      </c>
      <c r="P7" s="9">
        <v>3.3279999999999997E-2</v>
      </c>
      <c r="Q7" s="9">
        <v>3.363E-2</v>
      </c>
      <c r="R7" s="9">
        <v>3.39E-2</v>
      </c>
      <c r="S7" s="9">
        <v>3.5099999999999999E-2</v>
      </c>
    </row>
    <row r="8" spans="2:19" x14ac:dyDescent="0.3">
      <c r="B8" s="8"/>
      <c r="C8" t="s">
        <v>8</v>
      </c>
      <c r="F8" s="9">
        <v>2.4899999999999999E-2</v>
      </c>
      <c r="G8" s="9">
        <v>2.8889999999999999E-2</v>
      </c>
      <c r="H8" s="9">
        <v>2.9590000000000002E-2</v>
      </c>
      <c r="I8" s="9">
        <v>3.014E-2</v>
      </c>
      <c r="J8" s="9">
        <v>3.0509999999999999E-2</v>
      </c>
      <c r="K8" s="9">
        <v>3.2539999999999999E-2</v>
      </c>
      <c r="L8" s="9">
        <v>3.5040000000000002E-2</v>
      </c>
      <c r="M8" s="9">
        <v>3.6159999999999998E-2</v>
      </c>
      <c r="N8" s="9">
        <v>3.857E-2</v>
      </c>
      <c r="O8" s="9">
        <v>4.1410000000000002E-2</v>
      </c>
      <c r="P8" s="9">
        <v>4.4630000000000003E-2</v>
      </c>
      <c r="Q8" s="9">
        <v>4.5990000000000003E-2</v>
      </c>
      <c r="R8" s="9">
        <v>4.8030000000000003E-2</v>
      </c>
      <c r="S8" s="9">
        <v>4.922E-2</v>
      </c>
    </row>
    <row r="9" spans="2:19" x14ac:dyDescent="0.3">
      <c r="B9" s="8"/>
      <c r="C9" t="s">
        <v>25</v>
      </c>
      <c r="F9" s="9" t="s">
        <v>26</v>
      </c>
      <c r="G9" s="9" t="s">
        <v>26</v>
      </c>
      <c r="H9" s="9" t="s">
        <v>26</v>
      </c>
      <c r="I9" s="9" t="s">
        <v>26</v>
      </c>
      <c r="J9" s="9" t="s">
        <v>27</v>
      </c>
      <c r="K9" s="9" t="s">
        <v>27</v>
      </c>
      <c r="L9" s="9" t="s">
        <v>27</v>
      </c>
      <c r="M9" s="9" t="s">
        <v>27</v>
      </c>
      <c r="N9" s="9" t="s">
        <v>27</v>
      </c>
      <c r="O9" s="9" t="s">
        <v>27</v>
      </c>
      <c r="P9" s="9" t="s">
        <v>27</v>
      </c>
      <c r="Q9" s="9" t="s">
        <v>27</v>
      </c>
      <c r="R9" s="9" t="s">
        <v>27</v>
      </c>
      <c r="S9" s="9" t="s">
        <v>27</v>
      </c>
    </row>
    <row r="11" spans="2:19" x14ac:dyDescent="0.3">
      <c r="C11" s="4" t="s">
        <v>29</v>
      </c>
      <c r="D11" s="4"/>
      <c r="E11" s="4" t="s">
        <v>30</v>
      </c>
      <c r="F11" s="4">
        <v>15</v>
      </c>
      <c r="G11" s="4">
        <v>9</v>
      </c>
      <c r="H11" s="4"/>
      <c r="I11" s="4"/>
      <c r="J11" s="4"/>
      <c r="K11" s="4"/>
      <c r="L11" s="4"/>
      <c r="M11" s="4"/>
      <c r="N11" s="4"/>
    </row>
    <row r="12" spans="2:19" x14ac:dyDescent="0.3">
      <c r="C12" s="4" t="s">
        <v>31</v>
      </c>
      <c r="D12" s="4"/>
      <c r="E12" s="4"/>
      <c r="F12" s="7" t="s">
        <v>48</v>
      </c>
      <c r="G12" s="7" t="s">
        <v>49</v>
      </c>
      <c r="H12" s="7" t="s">
        <v>50</v>
      </c>
      <c r="I12" s="7" t="s">
        <v>51</v>
      </c>
      <c r="J12" s="7" t="s">
        <v>52</v>
      </c>
      <c r="K12" s="7" t="s">
        <v>53</v>
      </c>
      <c r="L12" s="7" t="s">
        <v>54</v>
      </c>
      <c r="M12" s="7" t="s">
        <v>55</v>
      </c>
      <c r="N12" s="7" t="s">
        <v>56</v>
      </c>
    </row>
    <row r="13" spans="2:19" x14ac:dyDescent="0.3">
      <c r="C13" s="4" t="s">
        <v>32</v>
      </c>
      <c r="D13" s="4"/>
      <c r="E13" s="7" t="s">
        <v>33</v>
      </c>
      <c r="F13" s="10">
        <v>0.109</v>
      </c>
      <c r="G13" s="10">
        <v>0.13300000000000001</v>
      </c>
      <c r="H13" s="10">
        <v>0.14000000000000001</v>
      </c>
      <c r="I13" s="10">
        <v>0.1525</v>
      </c>
      <c r="J13" s="10">
        <v>0.16550000000000001</v>
      </c>
      <c r="K13" s="10">
        <v>0.16950000000000001</v>
      </c>
      <c r="L13" s="10">
        <v>0.17</v>
      </c>
      <c r="M13" s="10">
        <v>0.16350000000000001</v>
      </c>
      <c r="N13" s="10">
        <v>0.159</v>
      </c>
    </row>
    <row r="14" spans="2:19" x14ac:dyDescent="0.3">
      <c r="C14" s="4"/>
      <c r="D14" s="4"/>
      <c r="E14" s="7" t="s">
        <v>34</v>
      </c>
      <c r="F14" s="10">
        <v>0.12</v>
      </c>
      <c r="G14" s="10">
        <v>0.13150000000000001</v>
      </c>
      <c r="H14" s="10">
        <v>0.14699999999999999</v>
      </c>
      <c r="I14" s="10">
        <v>0.16</v>
      </c>
      <c r="J14" s="10">
        <v>0.17399999999999999</v>
      </c>
      <c r="K14" s="10">
        <v>0.16900000000000001</v>
      </c>
      <c r="L14" s="10">
        <v>0.16500000000000001</v>
      </c>
      <c r="M14" s="10">
        <v>0.16200000000000001</v>
      </c>
      <c r="N14" s="10">
        <v>0.157</v>
      </c>
    </row>
    <row r="15" spans="2:19" x14ac:dyDescent="0.3">
      <c r="C15" s="4"/>
      <c r="D15" s="4"/>
      <c r="E15" s="7" t="s">
        <v>35</v>
      </c>
      <c r="F15" s="10">
        <v>0.1305</v>
      </c>
      <c r="G15" s="10">
        <v>0.13950000000000001</v>
      </c>
      <c r="H15" s="10">
        <v>0.14899999999999999</v>
      </c>
      <c r="I15" s="10">
        <v>0.158</v>
      </c>
      <c r="J15" s="10">
        <v>0.16800000000000001</v>
      </c>
      <c r="K15" s="10">
        <v>0.16500000000000001</v>
      </c>
      <c r="L15" s="10">
        <v>0.16300000000000001</v>
      </c>
      <c r="M15" s="10">
        <v>0.159</v>
      </c>
      <c r="N15" s="10">
        <v>0.155</v>
      </c>
    </row>
    <row r="16" spans="2:19" x14ac:dyDescent="0.3">
      <c r="C16" s="4"/>
      <c r="D16" s="4"/>
      <c r="E16" s="7" t="s">
        <v>36</v>
      </c>
      <c r="F16" s="10">
        <v>0.13350000000000001</v>
      </c>
      <c r="G16" s="10">
        <v>0.14050000000000001</v>
      </c>
      <c r="H16" s="10">
        <v>0.14899999999999999</v>
      </c>
      <c r="I16" s="10">
        <v>0.157</v>
      </c>
      <c r="J16" s="10">
        <v>0.16500000000000001</v>
      </c>
      <c r="K16" s="10">
        <v>0.16</v>
      </c>
      <c r="L16" s="10">
        <v>0.156</v>
      </c>
      <c r="M16" s="10">
        <v>0.153</v>
      </c>
      <c r="N16" s="10">
        <v>0.14799999999999999</v>
      </c>
    </row>
    <row r="17" spans="3:14" x14ac:dyDescent="0.3">
      <c r="C17" s="4"/>
      <c r="D17" s="4"/>
      <c r="E17" s="7" t="s">
        <v>37</v>
      </c>
      <c r="F17" s="10">
        <v>0.13550000000000001</v>
      </c>
      <c r="G17" s="10">
        <v>0.14149999999999999</v>
      </c>
      <c r="H17" s="10">
        <v>0.14799999999999999</v>
      </c>
      <c r="I17" s="10">
        <v>0.155</v>
      </c>
      <c r="J17" s="10">
        <v>0.16300000000000001</v>
      </c>
      <c r="K17" s="10">
        <v>0.159</v>
      </c>
      <c r="L17" s="10">
        <v>0.1545</v>
      </c>
      <c r="M17" s="10">
        <v>0.14649999999999999</v>
      </c>
      <c r="N17" s="10">
        <v>0.14149999999999999</v>
      </c>
    </row>
    <row r="18" spans="3:14" x14ac:dyDescent="0.3">
      <c r="C18" s="4"/>
      <c r="D18" s="4"/>
      <c r="E18" s="7" t="s">
        <v>38</v>
      </c>
      <c r="F18" s="10">
        <v>0.14299999999999999</v>
      </c>
      <c r="G18" s="10">
        <v>0.14799999999999999</v>
      </c>
      <c r="H18" s="10">
        <v>0.15049999999999999</v>
      </c>
      <c r="I18" s="10">
        <v>0.1545</v>
      </c>
      <c r="J18" s="10">
        <v>0.159</v>
      </c>
      <c r="K18" s="10">
        <v>0.1535</v>
      </c>
      <c r="L18" s="10">
        <v>0.15</v>
      </c>
      <c r="M18" s="10">
        <v>0.14099999999999999</v>
      </c>
      <c r="N18" s="10">
        <v>0.13600000000000001</v>
      </c>
    </row>
    <row r="19" spans="3:14" x14ac:dyDescent="0.3">
      <c r="C19" s="4"/>
      <c r="D19" s="4"/>
      <c r="E19" s="7" t="s">
        <v>39</v>
      </c>
      <c r="F19" s="10">
        <v>0.154</v>
      </c>
      <c r="G19" s="10">
        <v>0.156</v>
      </c>
      <c r="H19" s="10">
        <v>0.153</v>
      </c>
      <c r="I19" s="10">
        <v>0.1545</v>
      </c>
      <c r="J19" s="10">
        <v>0.156</v>
      </c>
      <c r="K19" s="10">
        <v>0.15</v>
      </c>
      <c r="L19" s="10">
        <v>0.14599999999999999</v>
      </c>
      <c r="M19" s="10">
        <v>0.13600000000000001</v>
      </c>
      <c r="N19" s="10">
        <v>0.13100000000000001</v>
      </c>
    </row>
    <row r="20" spans="3:14" x14ac:dyDescent="0.3">
      <c r="C20" s="4"/>
      <c r="D20" s="4"/>
      <c r="E20" s="7" t="s">
        <v>40</v>
      </c>
      <c r="F20" s="10">
        <v>0.16350000000000001</v>
      </c>
      <c r="G20" s="10">
        <v>0.1585</v>
      </c>
      <c r="H20" s="10">
        <v>0.1555</v>
      </c>
      <c r="I20" s="10">
        <v>0.153</v>
      </c>
      <c r="J20" s="10">
        <v>0.15049999999999999</v>
      </c>
      <c r="K20" s="10">
        <v>0.14599999999999999</v>
      </c>
      <c r="L20" s="10">
        <v>0.14299999999999999</v>
      </c>
      <c r="M20" s="10">
        <v>0.13400000000000001</v>
      </c>
      <c r="N20" s="10">
        <v>0.129</v>
      </c>
    </row>
    <row r="21" spans="3:14" x14ac:dyDescent="0.3">
      <c r="C21" s="4"/>
      <c r="D21" s="4"/>
      <c r="E21" s="7" t="s">
        <v>41</v>
      </c>
      <c r="F21" s="10">
        <v>0.161</v>
      </c>
      <c r="G21" s="10">
        <v>0.1575</v>
      </c>
      <c r="H21" s="10">
        <v>0.1535</v>
      </c>
      <c r="I21" s="10">
        <v>0.15</v>
      </c>
      <c r="J21" s="10">
        <v>0.14699999999999999</v>
      </c>
      <c r="K21" s="10">
        <v>0.14399999999999999</v>
      </c>
      <c r="L21" s="10">
        <v>0.14199999999999999</v>
      </c>
      <c r="M21" s="10">
        <v>0.13300000000000001</v>
      </c>
      <c r="N21" s="10">
        <v>0.126</v>
      </c>
    </row>
    <row r="22" spans="3:14" x14ac:dyDescent="0.3">
      <c r="C22" s="4"/>
      <c r="D22" s="4"/>
      <c r="E22" s="7" t="s">
        <v>42</v>
      </c>
      <c r="F22" s="10">
        <v>0.16350000000000001</v>
      </c>
      <c r="G22" s="10">
        <v>0.1565</v>
      </c>
      <c r="H22" s="10">
        <v>0.153</v>
      </c>
      <c r="I22" s="10">
        <v>0.14949999999999999</v>
      </c>
      <c r="J22" s="10">
        <v>0.14599999999999999</v>
      </c>
      <c r="K22" s="10">
        <v>0.14399999999999999</v>
      </c>
      <c r="L22" s="10">
        <v>0.14299999999999999</v>
      </c>
      <c r="M22" s="10">
        <v>0.13300000000000001</v>
      </c>
      <c r="N22" s="10">
        <v>0.127</v>
      </c>
    </row>
    <row r="23" spans="3:14" x14ac:dyDescent="0.3">
      <c r="C23" s="4"/>
      <c r="D23" s="4"/>
      <c r="E23" s="7" t="s">
        <v>43</v>
      </c>
      <c r="F23" s="10">
        <v>0.151</v>
      </c>
      <c r="G23" s="10">
        <v>0.14949999999999999</v>
      </c>
      <c r="H23" s="10">
        <v>0.14799999999999999</v>
      </c>
      <c r="I23" s="10">
        <v>0.14549999999999999</v>
      </c>
      <c r="J23" s="10">
        <v>0.14199999999999999</v>
      </c>
      <c r="K23" s="10">
        <v>0.14099999999999999</v>
      </c>
      <c r="L23" s="10">
        <v>0.13800000000000001</v>
      </c>
      <c r="M23" s="10">
        <v>0.128</v>
      </c>
      <c r="N23" s="10">
        <v>0.124</v>
      </c>
    </row>
    <row r="24" spans="3:14" x14ac:dyDescent="0.3">
      <c r="C24" s="4"/>
      <c r="D24" s="4"/>
      <c r="E24" s="7" t="s">
        <v>44</v>
      </c>
      <c r="F24" s="10">
        <v>0.152</v>
      </c>
      <c r="G24" s="10">
        <v>0.15049999999999999</v>
      </c>
      <c r="H24" s="10">
        <v>0.14799999999999999</v>
      </c>
      <c r="I24" s="10">
        <v>0.14549999999999999</v>
      </c>
      <c r="J24" s="10">
        <v>0.14299999999999999</v>
      </c>
      <c r="K24" s="10">
        <v>0.14000000000000001</v>
      </c>
      <c r="L24" s="10">
        <v>0.13200000000000001</v>
      </c>
      <c r="M24" s="10">
        <v>0.125</v>
      </c>
      <c r="N24" s="10">
        <v>0.122</v>
      </c>
    </row>
    <row r="25" spans="3:14" x14ac:dyDescent="0.3">
      <c r="C25" s="4"/>
      <c r="D25" s="4"/>
      <c r="E25" s="7" t="s">
        <v>45</v>
      </c>
      <c r="F25" s="10">
        <v>0.1525</v>
      </c>
      <c r="G25" s="10">
        <v>0.1515</v>
      </c>
      <c r="H25" s="10">
        <v>0.14799999999999999</v>
      </c>
      <c r="I25" s="10">
        <v>0.14149999999999999</v>
      </c>
      <c r="J25" s="10">
        <v>0.13700000000000001</v>
      </c>
      <c r="K25" s="10">
        <v>0.13100000000000001</v>
      </c>
      <c r="L25" s="10">
        <v>0.128</v>
      </c>
      <c r="M25" s="10">
        <v>0.121</v>
      </c>
      <c r="N25" s="10">
        <v>0.12</v>
      </c>
    </row>
    <row r="26" spans="3:14" x14ac:dyDescent="0.3">
      <c r="C26" s="4"/>
      <c r="D26" s="4"/>
      <c r="E26" s="7" t="s">
        <v>46</v>
      </c>
      <c r="F26" s="10">
        <v>0.14000000000000001</v>
      </c>
      <c r="G26" s="10">
        <v>0.13400000000000001</v>
      </c>
      <c r="H26" s="10">
        <v>0.128</v>
      </c>
      <c r="I26" s="10">
        <v>0.124</v>
      </c>
      <c r="J26" s="10">
        <v>0.122</v>
      </c>
      <c r="K26" s="10">
        <v>0.12</v>
      </c>
      <c r="L26" s="10">
        <v>0.122</v>
      </c>
      <c r="M26" s="10">
        <v>0.11700000000000001</v>
      </c>
      <c r="N26" s="10">
        <v>0.11799999999999999</v>
      </c>
    </row>
    <row r="27" spans="3:14" x14ac:dyDescent="0.3">
      <c r="C27" s="4"/>
      <c r="D27" s="4"/>
      <c r="E27" s="7" t="s">
        <v>47</v>
      </c>
      <c r="F27" s="10">
        <v>0.129</v>
      </c>
      <c r="G27" s="10">
        <v>0.129</v>
      </c>
      <c r="H27" s="10">
        <v>0.127</v>
      </c>
      <c r="I27" s="10">
        <v>0.126</v>
      </c>
      <c r="J27" s="10">
        <v>0.124</v>
      </c>
      <c r="K27" s="10">
        <v>0.13100000000000001</v>
      </c>
      <c r="L27" s="10">
        <v>0.13400000000000001</v>
      </c>
      <c r="M27" s="10">
        <v>0.11700000000000001</v>
      </c>
      <c r="N27" s="10">
        <v>0.11799999999999999</v>
      </c>
    </row>
  </sheetData>
  <mergeCells count="1">
    <mergeCell ref="B5:B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11</xdr:col>
                <xdr:colOff>571500</xdr:colOff>
                <xdr:row>0</xdr:row>
                <xdr:rowOff>85725</xdr:rowOff>
              </from>
              <to>
                <xdr:col>12</xdr:col>
                <xdr:colOff>647700</xdr:colOff>
                <xdr:row>2</xdr:row>
                <xdr:rowOff>152400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spotRateN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Jay</cp:lastModifiedBy>
  <dcterms:created xsi:type="dcterms:W3CDTF">2014-04-11T05:35:47Z</dcterms:created>
  <dcterms:modified xsi:type="dcterms:W3CDTF">2014-07-07T05:03:39Z</dcterms:modified>
</cp:coreProperties>
</file>