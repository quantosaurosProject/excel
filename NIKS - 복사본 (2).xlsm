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  <fileRecoveryPr repairLoad="1"/>
</workbook>
</file>

<file path=xl/calcChain.xml><?xml version="1.0" encoding="utf-8"?>
<calcChain xmlns="http://schemas.openxmlformats.org/spreadsheetml/2006/main">
  <c r="F32" i="1" l="1"/>
  <c r="Q49" i="1" l="1"/>
  <c r="P49" i="1"/>
  <c r="O49" i="1"/>
  <c r="N49" i="1"/>
  <c r="M49" i="1"/>
  <c r="L49" i="1"/>
  <c r="K49" i="1"/>
  <c r="J49" i="1"/>
  <c r="I49" i="1"/>
  <c r="H49" i="1"/>
  <c r="G49" i="1"/>
  <c r="F49" i="1"/>
  <c r="H48" i="1"/>
  <c r="I48" i="1" s="1"/>
  <c r="J48" i="1" s="1"/>
  <c r="K48" i="1" s="1"/>
  <c r="L48" i="1" s="1"/>
  <c r="M48" i="1" s="1"/>
  <c r="N48" i="1" s="1"/>
  <c r="O48" i="1" s="1"/>
  <c r="P48" i="1" s="1"/>
  <c r="Q48" i="1" s="1"/>
  <c r="G48" i="1"/>
  <c r="F48" i="1"/>
  <c r="G47" i="1"/>
  <c r="F5" i="1" l="1"/>
</calcChain>
</file>

<file path=xl/comments1.xml><?xml version="1.0" encoding="utf-8"?>
<comments xmlns="http://schemas.openxmlformats.org/spreadsheetml/2006/main">
  <authors>
    <author>Jay</author>
  </authors>
  <commentList>
    <comment ref="B36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<sst xmlns="http://schemas.openxmlformats.org/spreadsheetml/2006/main" count="117" uniqueCount="97">
  <si>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</si>
  <si>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</si>
  <si>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</si>
  <si>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</si>
  <si>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</si>
  <si>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</si>
  <si>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</si>
  <si>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</si>
  <si>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</si>
  <si>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</si>
  <si>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</si>
  <si>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</si>
  <si>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</si>
  <si>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</si>
  <si>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</si>
  <si>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</si>
  <si>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</si>
  <si>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</si>
  <si>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</si>
  <si>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</si>
  <si>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</si>
  <si>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</si>
  <si>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</si>
  <si>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</si>
  <si>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</si>
  <si>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</si>
  <si>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</si>
  <si>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</si>
  <si>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</si>
  <si>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</si>
  <si>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</si>
  <si>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</si>
  <si>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</si>
  <si>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</si>
  <si>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</si>
  <si>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</si>
  <si>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</si>
  <si>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</si>
  <si>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</si>
  <si>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</si>
  <si>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</si>
  <si>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</si>
  <si>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</si>
  <si>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</si>
  <si>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</si>
  <si>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</si>
  <si>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</si>
  <si>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</si>
  <si>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</si>
  <si>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</si>
  <si>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</si>
  <si>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</si>
  <si>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</si>
  <si>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</si>
  <si>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</si>
  <si>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</si>
  <si>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</si>
  <si>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</si>
  <si>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</si>
  <si>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vols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</si>
  <si>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</si>
  <si>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</si>
  <si>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</si>
  <si>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</si>
  <si>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</si>
  <si>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기준금리1정보</t>
    <phoneticPr fontId="1" type="noConversion"/>
  </si>
  <si>
    <t>Rate/Spread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</si>
  <si>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</si>
  <si>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</si>
  <si>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</si>
  <si>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</si>
  <si>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Rate</t>
    <phoneticPr fontId="1" type="noConversion"/>
  </si>
  <si>
    <t>Forward</t>
    <phoneticPr fontId="1" type="noConversion"/>
  </si>
  <si>
    <t>None</t>
    <phoneticPr fontId="1" type="noConversion"/>
  </si>
  <si>
    <t>기준금리2정보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</si>
  <si>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</si>
  <si>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</si>
  <si>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</si>
  <si>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</si>
  <si>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ACT/365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</si>
  <si>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</si>
  <si>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</si>
  <si>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</si>
  <si>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</si>
  <si>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</si>
  <si>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</si>
  <si>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</si>
  <si>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</si>
  <si>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</si>
  <si>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</si>
  <si>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</si>
  <si>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</si>
  <si>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</si>
  <si>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</si>
  <si>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</si>
  <si>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ytm Rates</t>
    <phoneticPr fontId="1" type="noConversion"/>
  </si>
  <si>
    <t>callFlags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</si>
</sst>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  <xf numFmtId="0" fontId="3" fillId="3" borderId="2" xfId="4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4" applyNumberFormat="1">
      <alignment horizontal="right" vertical="center"/>
    </xf>
    <xf numFmtId="0" fontId="0" fillId="0" borderId="0" xfId="0" applyAlignment="1">
      <alignment horizontal="center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56"/>
  <sheetViews>
    <sheetView tabSelected="1" workbookViewId="0">
      <pane xSplit="5" ySplit="3" topLeftCell="F43" activePane="bottomRight" state="frozen"/>
      <selection pane="topRight" activeCell="D1" sqref="D1"/>
      <selection pane="bottomLeft" activeCell="A4" sqref="A4"/>
      <selection pane="bottomRight" activeCell="G58" sqref="G58"/>
    </sheetView>
  </sheetViews>
  <sheetFormatPr defaultRowHeight="16.5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/>
      <c r="H3">
        <v>1</v>
      </c>
    </row>
    <row r="4" spans="2:19" x14ac:dyDescent="0.3">
      <c r="B4" s="12" t="s">
        <v>3</v>
      </c>
    </row>
    <row r="5" spans="2:19" x14ac:dyDescent="0.3">
      <c r="B5" s="15" t="s">
        <v>27</v>
      </c>
      <c r="C5" t="s">
        <v>5</v>
      </c>
      <c r="F5">
        <f>COUNTA(F7:AR7)</f>
        <v>14</v>
      </c>
    </row>
    <row r="6" spans="2:19" x14ac:dyDescent="0.3">
      <c r="B6" s="15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15"/>
      <c r="C7" t="s">
        <v>95</v>
      </c>
      <c r="F7" s="8">
        <v>2.4899999999999999E-2</v>
      </c>
      <c r="G7" s="8">
        <v>2.6499999999999999E-2</v>
      </c>
      <c r="H7" s="8">
        <v>2.6550000000000001E-2</v>
      </c>
      <c r="I7" s="8">
        <v>2.665E-2</v>
      </c>
      <c r="J7" s="8">
        <v>2.6800000000000001E-2</v>
      </c>
      <c r="K7" s="8">
        <v>2.785E-2</v>
      </c>
      <c r="L7" s="8">
        <v>2.8930000000000001E-2</v>
      </c>
      <c r="M7" s="8">
        <v>2.9899999999999999E-2</v>
      </c>
      <c r="N7" s="8">
        <v>3.0779999999999998E-2</v>
      </c>
      <c r="O7" s="8">
        <v>3.2030000000000003E-2</v>
      </c>
      <c r="P7" s="8">
        <v>3.3279999999999997E-2</v>
      </c>
      <c r="Q7" s="8">
        <v>3.363E-2</v>
      </c>
      <c r="R7" s="8">
        <v>3.39E-2</v>
      </c>
      <c r="S7" s="8">
        <v>3.5099999999999999E-2</v>
      </c>
    </row>
    <row r="8" spans="2:19" x14ac:dyDescent="0.3">
      <c r="B8" s="15"/>
      <c r="C8" t="s">
        <v>8</v>
      </c>
      <c r="F8" s="8">
        <v>2.4899999999999999E-2</v>
      </c>
      <c r="G8" s="8">
        <v>2.8889999999999999E-2</v>
      </c>
      <c r="H8" s="8">
        <v>2.9590000000000002E-2</v>
      </c>
      <c r="I8" s="8">
        <v>3.014E-2</v>
      </c>
      <c r="J8" s="8">
        <v>3.0509999999999999E-2</v>
      </c>
      <c r="K8" s="8">
        <v>3.2539999999999999E-2</v>
      </c>
      <c r="L8" s="8">
        <v>3.5040000000000002E-2</v>
      </c>
      <c r="M8" s="8">
        <v>3.6159999999999998E-2</v>
      </c>
      <c r="N8" s="8">
        <v>3.857E-2</v>
      </c>
      <c r="O8" s="8">
        <v>4.1410000000000002E-2</v>
      </c>
      <c r="P8" s="8">
        <v>4.4630000000000003E-2</v>
      </c>
      <c r="Q8" s="8">
        <v>4.5990000000000003E-2</v>
      </c>
      <c r="R8" s="8">
        <v>4.8030000000000003E-2</v>
      </c>
      <c r="S8" s="8">
        <v>4.922E-2</v>
      </c>
    </row>
    <row r="9" spans="2:19" x14ac:dyDescent="0.3">
      <c r="B9" s="15"/>
      <c r="C9" t="s">
        <v>24</v>
      </c>
      <c r="F9" s="8" t="s">
        <v>25</v>
      </c>
      <c r="G9" s="8" t="s">
        <v>25</v>
      </c>
      <c r="H9" s="8" t="s">
        <v>25</v>
      </c>
      <c r="I9" s="8" t="s">
        <v>25</v>
      </c>
      <c r="J9" s="8" t="s">
        <v>26</v>
      </c>
      <c r="K9" s="8" t="s">
        <v>26</v>
      </c>
      <c r="L9" s="8" t="s">
        <v>26</v>
      </c>
      <c r="M9" s="8" t="s">
        <v>26</v>
      </c>
      <c r="N9" s="8" t="s">
        <v>26</v>
      </c>
      <c r="O9" s="8" t="s">
        <v>26</v>
      </c>
      <c r="P9" s="8" t="s">
        <v>26</v>
      </c>
      <c r="Q9" s="8" t="s">
        <v>26</v>
      </c>
      <c r="R9" s="8" t="s">
        <v>26</v>
      </c>
      <c r="S9" s="8" t="s">
        <v>26</v>
      </c>
    </row>
    <row r="11" spans="2:19" x14ac:dyDescent="0.3">
      <c r="B11" s="15" t="s">
        <v>55</v>
      </c>
      <c r="C11" s="4" t="s">
        <v>28</v>
      </c>
      <c r="D11" s="4"/>
      <c r="E11" s="4" t="s">
        <v>29</v>
      </c>
      <c r="F11" s="4">
        <v>15</v>
      </c>
      <c r="G11" s="4">
        <v>9</v>
      </c>
      <c r="H11" s="4"/>
      <c r="I11" s="4"/>
      <c r="J11" s="4"/>
      <c r="K11" s="4"/>
      <c r="L11" s="4"/>
      <c r="M11" s="4"/>
      <c r="N11" s="4"/>
    </row>
    <row r="12" spans="2:19" x14ac:dyDescent="0.3">
      <c r="B12" s="15"/>
      <c r="C12" s="4" t="s">
        <v>30</v>
      </c>
      <c r="D12" s="4"/>
      <c r="E12" s="4"/>
      <c r="F12" s="7" t="s">
        <v>46</v>
      </c>
      <c r="G12" s="7" t="s">
        <v>47</v>
      </c>
      <c r="H12" s="7" t="s">
        <v>48</v>
      </c>
      <c r="I12" s="7" t="s">
        <v>49</v>
      </c>
      <c r="J12" s="7" t="s">
        <v>50</v>
      </c>
      <c r="K12" s="7" t="s">
        <v>51</v>
      </c>
      <c r="L12" s="7" t="s">
        <v>52</v>
      </c>
      <c r="M12" s="7" t="s">
        <v>53</v>
      </c>
      <c r="N12" s="7" t="s">
        <v>54</v>
      </c>
    </row>
    <row r="13" spans="2:19" x14ac:dyDescent="0.3">
      <c r="B13" s="15"/>
      <c r="C13" s="4" t="s">
        <v>59</v>
      </c>
      <c r="D13" s="4"/>
      <c r="E13" s="7" t="s">
        <v>31</v>
      </c>
      <c r="F13" s="9">
        <v>0.109</v>
      </c>
      <c r="G13" s="9">
        <v>0.13300000000000001</v>
      </c>
      <c r="H13" s="9">
        <v>0.14000000000000001</v>
      </c>
      <c r="I13" s="9">
        <v>0.1525</v>
      </c>
      <c r="J13" s="9">
        <v>0.16550000000000001</v>
      </c>
      <c r="K13" s="9">
        <v>0.16950000000000001</v>
      </c>
      <c r="L13" s="9">
        <v>0.17</v>
      </c>
      <c r="M13" s="9">
        <v>0.16350000000000001</v>
      </c>
      <c r="N13" s="9">
        <v>0.159</v>
      </c>
    </row>
    <row r="14" spans="2:19" x14ac:dyDescent="0.3">
      <c r="B14" s="15"/>
      <c r="C14" s="4"/>
      <c r="D14" s="4"/>
      <c r="E14" s="7" t="s">
        <v>32</v>
      </c>
      <c r="F14" s="9">
        <v>0.12</v>
      </c>
      <c r="G14" s="9">
        <v>0.13150000000000001</v>
      </c>
      <c r="H14" s="9">
        <v>0.14699999999999999</v>
      </c>
      <c r="I14" s="9">
        <v>0.16</v>
      </c>
      <c r="J14" s="9">
        <v>0.17399999999999999</v>
      </c>
      <c r="K14" s="9">
        <v>0.16900000000000001</v>
      </c>
      <c r="L14" s="9">
        <v>0.16500000000000001</v>
      </c>
      <c r="M14" s="9">
        <v>0.16200000000000001</v>
      </c>
      <c r="N14" s="9">
        <v>0.157</v>
      </c>
    </row>
    <row r="15" spans="2:19" x14ac:dyDescent="0.3">
      <c r="B15" s="15"/>
      <c r="C15" s="4"/>
      <c r="D15" s="4"/>
      <c r="E15" s="7" t="s">
        <v>33</v>
      </c>
      <c r="F15" s="9">
        <v>0.1305</v>
      </c>
      <c r="G15" s="9">
        <v>0.13950000000000001</v>
      </c>
      <c r="H15" s="9">
        <v>0.14899999999999999</v>
      </c>
      <c r="I15" s="9">
        <v>0.158</v>
      </c>
      <c r="J15" s="9">
        <v>0.16800000000000001</v>
      </c>
      <c r="K15" s="9">
        <v>0.16500000000000001</v>
      </c>
      <c r="L15" s="9">
        <v>0.16300000000000001</v>
      </c>
      <c r="M15" s="9">
        <v>0.159</v>
      </c>
      <c r="N15" s="9">
        <v>0.155</v>
      </c>
    </row>
    <row r="16" spans="2:19" x14ac:dyDescent="0.3">
      <c r="B16" s="15"/>
      <c r="C16" s="4"/>
      <c r="D16" s="4"/>
      <c r="E16" s="7" t="s">
        <v>34</v>
      </c>
      <c r="F16" s="9">
        <v>0.13350000000000001</v>
      </c>
      <c r="G16" s="9">
        <v>0.14050000000000001</v>
      </c>
      <c r="H16" s="9">
        <v>0.14899999999999999</v>
      </c>
      <c r="I16" s="9">
        <v>0.157</v>
      </c>
      <c r="J16" s="9">
        <v>0.16500000000000001</v>
      </c>
      <c r="K16" s="9">
        <v>0.16</v>
      </c>
      <c r="L16" s="9">
        <v>0.156</v>
      </c>
      <c r="M16" s="9">
        <v>0.153</v>
      </c>
      <c r="N16" s="9">
        <v>0.14799999999999999</v>
      </c>
    </row>
    <row r="17" spans="2:14" x14ac:dyDescent="0.3">
      <c r="B17" s="15"/>
      <c r="C17" s="4"/>
      <c r="D17" s="4"/>
      <c r="E17" s="7" t="s">
        <v>35</v>
      </c>
      <c r="F17" s="9">
        <v>0.13550000000000001</v>
      </c>
      <c r="G17" s="9">
        <v>0.14149999999999999</v>
      </c>
      <c r="H17" s="9">
        <v>0.14799999999999999</v>
      </c>
      <c r="I17" s="9">
        <v>0.155</v>
      </c>
      <c r="J17" s="9">
        <v>0.16300000000000001</v>
      </c>
      <c r="K17" s="9">
        <v>0.159</v>
      </c>
      <c r="L17" s="9">
        <v>0.1545</v>
      </c>
      <c r="M17" s="9">
        <v>0.14649999999999999</v>
      </c>
      <c r="N17" s="9">
        <v>0.14149999999999999</v>
      </c>
    </row>
    <row r="18" spans="2:14" x14ac:dyDescent="0.3">
      <c r="B18" s="15"/>
      <c r="C18" s="4"/>
      <c r="D18" s="4"/>
      <c r="E18" s="7" t="s">
        <v>36</v>
      </c>
      <c r="F18" s="9">
        <v>0.14299999999999999</v>
      </c>
      <c r="G18" s="9">
        <v>0.14799999999999999</v>
      </c>
      <c r="H18" s="9">
        <v>0.15049999999999999</v>
      </c>
      <c r="I18" s="9">
        <v>0.1545</v>
      </c>
      <c r="J18" s="9">
        <v>0.159</v>
      </c>
      <c r="K18" s="9">
        <v>0.1535</v>
      </c>
      <c r="L18" s="9">
        <v>0.15</v>
      </c>
      <c r="M18" s="9">
        <v>0.14099999999999999</v>
      </c>
      <c r="N18" s="9">
        <v>0.13600000000000001</v>
      </c>
    </row>
    <row r="19" spans="2:14" x14ac:dyDescent="0.3">
      <c r="B19" s="15"/>
      <c r="C19" s="4"/>
      <c r="D19" s="4"/>
      <c r="E19" s="7" t="s">
        <v>37</v>
      </c>
      <c r="F19" s="9">
        <v>0.154</v>
      </c>
      <c r="G19" s="9">
        <v>0.156</v>
      </c>
      <c r="H19" s="9">
        <v>0.153</v>
      </c>
      <c r="I19" s="9">
        <v>0.1545</v>
      </c>
      <c r="J19" s="9">
        <v>0.156</v>
      </c>
      <c r="K19" s="9">
        <v>0.15</v>
      </c>
      <c r="L19" s="9">
        <v>0.14599999999999999</v>
      </c>
      <c r="M19" s="9">
        <v>0.13600000000000001</v>
      </c>
      <c r="N19" s="9">
        <v>0.13100000000000001</v>
      </c>
    </row>
    <row r="20" spans="2:14" x14ac:dyDescent="0.3">
      <c r="B20" s="15"/>
      <c r="C20" s="4"/>
      <c r="D20" s="4"/>
      <c r="E20" s="7" t="s">
        <v>38</v>
      </c>
      <c r="F20" s="9">
        <v>0.16350000000000001</v>
      </c>
      <c r="G20" s="9">
        <v>0.1585</v>
      </c>
      <c r="H20" s="9">
        <v>0.1555</v>
      </c>
      <c r="I20" s="9">
        <v>0.153</v>
      </c>
      <c r="J20" s="9">
        <v>0.15049999999999999</v>
      </c>
      <c r="K20" s="9">
        <v>0.14599999999999999</v>
      </c>
      <c r="L20" s="9">
        <v>0.14299999999999999</v>
      </c>
      <c r="M20" s="9">
        <v>0.13400000000000001</v>
      </c>
      <c r="N20" s="9">
        <v>0.129</v>
      </c>
    </row>
    <row r="21" spans="2:14" x14ac:dyDescent="0.3">
      <c r="B21" s="15"/>
      <c r="C21" s="4"/>
      <c r="D21" s="4"/>
      <c r="E21" s="7" t="s">
        <v>39</v>
      </c>
      <c r="F21" s="9">
        <v>0.161</v>
      </c>
      <c r="G21" s="9">
        <v>0.1575</v>
      </c>
      <c r="H21" s="9">
        <v>0.1535</v>
      </c>
      <c r="I21" s="9">
        <v>0.15</v>
      </c>
      <c r="J21" s="9">
        <v>0.14699999999999999</v>
      </c>
      <c r="K21" s="9">
        <v>0.14399999999999999</v>
      </c>
      <c r="L21" s="9">
        <v>0.14199999999999999</v>
      </c>
      <c r="M21" s="9">
        <v>0.13300000000000001</v>
      </c>
      <c r="N21" s="9">
        <v>0.126</v>
      </c>
    </row>
    <row r="22" spans="2:14" x14ac:dyDescent="0.3">
      <c r="B22" s="15"/>
      <c r="C22" s="4"/>
      <c r="D22" s="4"/>
      <c r="E22" s="7" t="s">
        <v>40</v>
      </c>
      <c r="F22" s="9">
        <v>0.16350000000000001</v>
      </c>
      <c r="G22" s="9">
        <v>0.1565</v>
      </c>
      <c r="H22" s="9">
        <v>0.153</v>
      </c>
      <c r="I22" s="9">
        <v>0.14949999999999999</v>
      </c>
      <c r="J22" s="9">
        <v>0.14599999999999999</v>
      </c>
      <c r="K22" s="9">
        <v>0.14399999999999999</v>
      </c>
      <c r="L22" s="9">
        <v>0.14299999999999999</v>
      </c>
      <c r="M22" s="9">
        <v>0.13300000000000001</v>
      </c>
      <c r="N22" s="9">
        <v>0.127</v>
      </c>
    </row>
    <row r="23" spans="2:14" x14ac:dyDescent="0.3">
      <c r="B23" s="15"/>
      <c r="C23" s="4"/>
      <c r="D23" s="4"/>
      <c r="E23" s="7" t="s">
        <v>41</v>
      </c>
      <c r="F23" s="9">
        <v>0.151</v>
      </c>
      <c r="G23" s="9">
        <v>0.14949999999999999</v>
      </c>
      <c r="H23" s="9">
        <v>0.14799999999999999</v>
      </c>
      <c r="I23" s="9">
        <v>0.14549999999999999</v>
      </c>
      <c r="J23" s="9">
        <v>0.14199999999999999</v>
      </c>
      <c r="K23" s="9">
        <v>0.14099999999999999</v>
      </c>
      <c r="L23" s="9">
        <v>0.13800000000000001</v>
      </c>
      <c r="M23" s="9">
        <v>0.128</v>
      </c>
      <c r="N23" s="9">
        <v>0.124</v>
      </c>
    </row>
    <row r="24" spans="2:14" x14ac:dyDescent="0.3">
      <c r="B24" s="15"/>
      <c r="C24" s="4"/>
      <c r="D24" s="4"/>
      <c r="E24" s="7" t="s">
        <v>42</v>
      </c>
      <c r="F24" s="9">
        <v>0.152</v>
      </c>
      <c r="G24" s="9">
        <v>0.15049999999999999</v>
      </c>
      <c r="H24" s="9">
        <v>0.14799999999999999</v>
      </c>
      <c r="I24" s="9">
        <v>0.14549999999999999</v>
      </c>
      <c r="J24" s="9">
        <v>0.14299999999999999</v>
      </c>
      <c r="K24" s="9">
        <v>0.14000000000000001</v>
      </c>
      <c r="L24" s="9">
        <v>0.13200000000000001</v>
      </c>
      <c r="M24" s="9">
        <v>0.125</v>
      </c>
      <c r="N24" s="9">
        <v>0.122</v>
      </c>
    </row>
    <row r="25" spans="2:14" x14ac:dyDescent="0.3">
      <c r="B25" s="15"/>
      <c r="C25" s="4"/>
      <c r="D25" s="4"/>
      <c r="E25" s="7" t="s">
        <v>43</v>
      </c>
      <c r="F25" s="9">
        <v>0.1525</v>
      </c>
      <c r="G25" s="9">
        <v>0.1515</v>
      </c>
      <c r="H25" s="9">
        <v>0.14799999999999999</v>
      </c>
      <c r="I25" s="9">
        <v>0.14149999999999999</v>
      </c>
      <c r="J25" s="9">
        <v>0.13700000000000001</v>
      </c>
      <c r="K25" s="9">
        <v>0.13100000000000001</v>
      </c>
      <c r="L25" s="9">
        <v>0.128</v>
      </c>
      <c r="M25" s="9">
        <v>0.121</v>
      </c>
      <c r="N25" s="9">
        <v>0.12</v>
      </c>
    </row>
    <row r="26" spans="2:14" x14ac:dyDescent="0.3">
      <c r="B26" s="15"/>
      <c r="C26" s="4"/>
      <c r="D26" s="4"/>
      <c r="E26" s="7" t="s">
        <v>44</v>
      </c>
      <c r="F26" s="9">
        <v>0.14000000000000001</v>
      </c>
      <c r="G26" s="9">
        <v>0.13400000000000001</v>
      </c>
      <c r="H26" s="9">
        <v>0.128</v>
      </c>
      <c r="I26" s="9">
        <v>0.124</v>
      </c>
      <c r="J26" s="9">
        <v>0.122</v>
      </c>
      <c r="K26" s="9">
        <v>0.12</v>
      </c>
      <c r="L26" s="9">
        <v>0.122</v>
      </c>
      <c r="M26" s="9">
        <v>0.11700000000000001</v>
      </c>
      <c r="N26" s="9">
        <v>0.11799999999999999</v>
      </c>
    </row>
    <row r="27" spans="2:14" x14ac:dyDescent="0.3">
      <c r="B27" s="15"/>
      <c r="C27" s="4"/>
      <c r="D27" s="4"/>
      <c r="E27" s="7" t="s">
        <v>45</v>
      </c>
      <c r="F27" s="9">
        <v>0.129</v>
      </c>
      <c r="G27" s="9">
        <v>0.129</v>
      </c>
      <c r="H27" s="9">
        <v>0.127</v>
      </c>
      <c r="I27" s="9">
        <v>0.126</v>
      </c>
      <c r="J27" s="9">
        <v>0.124</v>
      </c>
      <c r="K27" s="9">
        <v>0.13100000000000001</v>
      </c>
      <c r="L27" s="9">
        <v>0.13400000000000001</v>
      </c>
      <c r="M27" s="9">
        <v>0.11700000000000001</v>
      </c>
      <c r="N27" s="9">
        <v>0.11799999999999999</v>
      </c>
    </row>
    <row r="29" spans="2:14" x14ac:dyDescent="0.3">
      <c r="B29" s="12" t="s">
        <v>56</v>
      </c>
    </row>
    <row r="30" spans="2:14" x14ac:dyDescent="0.3">
      <c r="B30" t="s">
        <v>63</v>
      </c>
      <c r="C30" t="s">
        <v>60</v>
      </c>
      <c r="F30" s="10">
        <v>1</v>
      </c>
      <c r="G30" s="10" t="s">
        <v>64</v>
      </c>
    </row>
    <row r="31" spans="2:14" x14ac:dyDescent="0.3">
      <c r="B31" t="s">
        <v>57</v>
      </c>
      <c r="C31" t="s">
        <v>61</v>
      </c>
      <c r="F31" s="1">
        <v>41741</v>
      </c>
      <c r="G31" s="6"/>
    </row>
    <row r="32" spans="2:14" x14ac:dyDescent="0.3">
      <c r="B32" t="s">
        <v>58</v>
      </c>
      <c r="C32" t="s">
        <v>62</v>
      </c>
      <c r="F32" s="1">
        <f>Q49</f>
        <v>42833</v>
      </c>
    </row>
    <row r="33" spans="2:17" s="4" customFormat="1" x14ac:dyDescent="0.3">
      <c r="B33" s="4" t="s">
        <v>77</v>
      </c>
      <c r="C33" s="4" t="s">
        <v>78</v>
      </c>
      <c r="F33" s="1" t="s">
        <v>79</v>
      </c>
      <c r="G33" s="4">
        <v>365</v>
      </c>
    </row>
    <row r="35" spans="2:17" x14ac:dyDescent="0.3">
      <c r="B35" s="3" t="s">
        <v>65</v>
      </c>
    </row>
    <row r="36" spans="2:17" x14ac:dyDescent="0.3">
      <c r="B36" s="11" t="s">
        <v>67</v>
      </c>
      <c r="D36" t="s">
        <v>66</v>
      </c>
      <c r="F36" t="s">
        <v>71</v>
      </c>
    </row>
    <row r="37" spans="2:17" x14ac:dyDescent="0.3">
      <c r="B37" s="11" t="s">
        <v>68</v>
      </c>
      <c r="D37" t="s">
        <v>69</v>
      </c>
      <c r="F37" t="s">
        <v>72</v>
      </c>
    </row>
    <row r="38" spans="2:17" x14ac:dyDescent="0.3">
      <c r="B38" s="11" t="s">
        <v>70</v>
      </c>
      <c r="F38" t="s">
        <v>73</v>
      </c>
    </row>
    <row r="40" spans="2:17" x14ac:dyDescent="0.3">
      <c r="B40" s="3" t="s">
        <v>74</v>
      </c>
    </row>
    <row r="41" spans="2:17" x14ac:dyDescent="0.3">
      <c r="B41" s="11" t="s">
        <v>67</v>
      </c>
      <c r="C41" s="4"/>
      <c r="D41" s="4" t="s">
        <v>66</v>
      </c>
      <c r="E41" s="4"/>
      <c r="F41" s="4" t="s">
        <v>71</v>
      </c>
    </row>
    <row r="42" spans="2:17" x14ac:dyDescent="0.3">
      <c r="B42" s="11" t="s">
        <v>68</v>
      </c>
      <c r="C42" s="4"/>
      <c r="D42" s="4" t="s">
        <v>69</v>
      </c>
      <c r="E42" s="4"/>
      <c r="F42" s="4" t="s">
        <v>72</v>
      </c>
    </row>
    <row r="43" spans="2:17" x14ac:dyDescent="0.3">
      <c r="B43" s="11" t="s">
        <v>70</v>
      </c>
      <c r="C43" s="4"/>
      <c r="D43" s="4"/>
      <c r="E43" s="4"/>
      <c r="F43" s="4" t="s">
        <v>73</v>
      </c>
    </row>
    <row r="45" spans="2:17" x14ac:dyDescent="0.3">
      <c r="B45" s="3" t="s">
        <v>75</v>
      </c>
    </row>
    <row r="46" spans="2:17" s="4" customFormat="1" x14ac:dyDescent="0.3">
      <c r="B46" s="13" t="s">
        <v>80</v>
      </c>
      <c r="C46" s="4" t="s">
        <v>81</v>
      </c>
      <c r="F46" s="4">
        <v>12</v>
      </c>
    </row>
    <row r="47" spans="2:17" x14ac:dyDescent="0.3">
      <c r="B47" s="11" t="s">
        <v>76</v>
      </c>
      <c r="F47">
        <v>0.25</v>
      </c>
      <c r="G47">
        <f>ROUND(F47*G33,0)</f>
        <v>91</v>
      </c>
    </row>
    <row r="48" spans="2:17" s="4" customFormat="1" x14ac:dyDescent="0.3">
      <c r="B48" s="11" t="s">
        <v>83</v>
      </c>
      <c r="F48" s="1">
        <f>F31</f>
        <v>41741</v>
      </c>
      <c r="G48" s="1">
        <f>F48+$G$47</f>
        <v>41832</v>
      </c>
      <c r="H48" s="1">
        <f t="shared" ref="H48:Q48" si="0">G48+$G$47</f>
        <v>41923</v>
      </c>
      <c r="I48" s="1">
        <f t="shared" si="0"/>
        <v>42014</v>
      </c>
      <c r="J48" s="1">
        <f t="shared" si="0"/>
        <v>42105</v>
      </c>
      <c r="K48" s="1">
        <f t="shared" si="0"/>
        <v>42196</v>
      </c>
      <c r="L48" s="1">
        <f t="shared" si="0"/>
        <v>42287</v>
      </c>
      <c r="M48" s="1">
        <f t="shared" si="0"/>
        <v>42378</v>
      </c>
      <c r="N48" s="1">
        <f t="shared" si="0"/>
        <v>42469</v>
      </c>
      <c r="O48" s="1">
        <f t="shared" si="0"/>
        <v>42560</v>
      </c>
      <c r="P48" s="1">
        <f t="shared" si="0"/>
        <v>42651</v>
      </c>
      <c r="Q48" s="1">
        <f t="shared" si="0"/>
        <v>42742</v>
      </c>
    </row>
    <row r="49" spans="2:17" x14ac:dyDescent="0.3">
      <c r="B49" s="11" t="s">
        <v>84</v>
      </c>
      <c r="C49" t="s">
        <v>82</v>
      </c>
      <c r="F49" s="1">
        <f>F48+$G$47</f>
        <v>41832</v>
      </c>
      <c r="G49" s="1">
        <f t="shared" ref="G49:Q49" si="1">G48+$G$47</f>
        <v>41923</v>
      </c>
      <c r="H49" s="1">
        <f t="shared" si="1"/>
        <v>42014</v>
      </c>
      <c r="I49" s="1">
        <f t="shared" si="1"/>
        <v>42105</v>
      </c>
      <c r="J49" s="1">
        <f t="shared" si="1"/>
        <v>42196</v>
      </c>
      <c r="K49" s="1">
        <f t="shared" si="1"/>
        <v>42287</v>
      </c>
      <c r="L49" s="1">
        <f t="shared" si="1"/>
        <v>42378</v>
      </c>
      <c r="M49" s="1">
        <f t="shared" si="1"/>
        <v>42469</v>
      </c>
      <c r="N49" s="1">
        <f t="shared" si="1"/>
        <v>42560</v>
      </c>
      <c r="O49" s="1">
        <f t="shared" si="1"/>
        <v>42651</v>
      </c>
      <c r="P49" s="1">
        <f t="shared" si="1"/>
        <v>42742</v>
      </c>
      <c r="Q49" s="1">
        <f t="shared" si="1"/>
        <v>42833</v>
      </c>
    </row>
    <row r="50" spans="2:17" x14ac:dyDescent="0.3">
      <c r="B50" s="11" t="s">
        <v>85</v>
      </c>
      <c r="C50" t="s">
        <v>86</v>
      </c>
      <c r="F50" s="14">
        <v>0.04</v>
      </c>
      <c r="G50" s="14">
        <v>0.04</v>
      </c>
      <c r="H50" s="14">
        <v>0.04</v>
      </c>
      <c r="I50" s="14">
        <v>0.04</v>
      </c>
      <c r="J50" s="14">
        <v>0.04</v>
      </c>
      <c r="K50" s="14">
        <v>0.04</v>
      </c>
      <c r="L50" s="14">
        <v>0.04</v>
      </c>
      <c r="M50" s="14">
        <v>0.04</v>
      </c>
      <c r="N50" s="14">
        <v>0.04</v>
      </c>
      <c r="O50" s="14">
        <v>0.04</v>
      </c>
      <c r="P50" s="14">
        <v>0.04</v>
      </c>
      <c r="Q50" s="14">
        <v>0.04</v>
      </c>
    </row>
    <row r="51" spans="2:17" x14ac:dyDescent="0.3">
      <c r="B51" s="11" t="s">
        <v>87</v>
      </c>
      <c r="C51" t="s">
        <v>88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</row>
    <row r="52" spans="2:17" x14ac:dyDescent="0.3">
      <c r="B52" s="11" t="s">
        <v>89</v>
      </c>
      <c r="C52" t="s">
        <v>91</v>
      </c>
      <c r="F52" s="14">
        <v>4.3999999999999997E-2</v>
      </c>
      <c r="G52" s="14">
        <v>4.3999999999999997E-2</v>
      </c>
      <c r="H52" s="14">
        <v>4.3999999999999997E-2</v>
      </c>
      <c r="I52" s="14">
        <v>4.3999999999999997E-2</v>
      </c>
      <c r="J52" s="14">
        <v>4.3999999999999997E-2</v>
      </c>
      <c r="K52" s="14">
        <v>4.3999999999999997E-2</v>
      </c>
      <c r="L52" s="14">
        <v>4.3999999999999997E-2</v>
      </c>
      <c r="M52" s="14">
        <v>4.3999999999999997E-2</v>
      </c>
      <c r="N52" s="14">
        <v>4.3999999999999997E-2</v>
      </c>
      <c r="O52" s="14">
        <v>4.3999999999999997E-2</v>
      </c>
      <c r="P52" s="14">
        <v>4.3999999999999997E-2</v>
      </c>
      <c r="Q52" s="14">
        <v>4.3999999999999997E-2</v>
      </c>
    </row>
    <row r="53" spans="2:17" x14ac:dyDescent="0.3">
      <c r="B53" s="11" t="s">
        <v>90</v>
      </c>
      <c r="C53" t="s">
        <v>92</v>
      </c>
      <c r="F53" s="14">
        <v>0.23</v>
      </c>
      <c r="G53" s="14">
        <v>0.23</v>
      </c>
      <c r="H53" s="14">
        <v>0.23</v>
      </c>
      <c r="I53" s="14">
        <v>0.23</v>
      </c>
      <c r="J53" s="14">
        <v>0.23</v>
      </c>
      <c r="K53" s="14">
        <v>0.23</v>
      </c>
      <c r="L53" s="14">
        <v>0.23</v>
      </c>
      <c r="M53" s="14">
        <v>0.23</v>
      </c>
      <c r="N53" s="14">
        <v>0.23</v>
      </c>
      <c r="O53" s="14">
        <v>0.23</v>
      </c>
      <c r="P53" s="14">
        <v>0.23</v>
      </c>
      <c r="Q53" s="14">
        <v>0.23</v>
      </c>
    </row>
    <row r="55" spans="2:17" x14ac:dyDescent="0.3">
      <c r="B55" s="3" t="s">
        <v>93</v>
      </c>
    </row>
    <row r="56" spans="2:17" x14ac:dyDescent="0.3">
      <c r="B56" s="11" t="s">
        <v>94</v>
      </c>
      <c r="C56" t="s">
        <v>96</v>
      </c>
      <c r="F56" s="10" t="b">
        <v>0</v>
      </c>
      <c r="G56" s="10" t="b">
        <v>1</v>
      </c>
      <c r="H56" s="10" t="b">
        <v>1</v>
      </c>
      <c r="I56" s="10" t="b">
        <v>1</v>
      </c>
      <c r="J56" s="10" t="b">
        <v>1</v>
      </c>
      <c r="K56" s="10" t="b">
        <v>1</v>
      </c>
      <c r="L56" s="10" t="b">
        <v>1</v>
      </c>
      <c r="M56" s="10" t="b">
        <v>1</v>
      </c>
      <c r="N56" s="10" t="b">
        <v>1</v>
      </c>
      <c r="O56" s="10" t="b">
        <v>1</v>
      </c>
      <c r="P56" s="10" t="b">
        <v>1</v>
      </c>
      <c r="Q56" s="10" t="b">
        <v>0</v>
      </c>
    </row>
  </sheetData>
  <mergeCells count="2">
    <mergeCell ref="B5:B9"/>
    <mergeCell ref="B11:B2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2014-09-22T08:57:42Z</dcterms:modified>
</cp:coreProperties>
</file>